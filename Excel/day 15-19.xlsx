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6.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ocuments\data-analyst\Excel\"/>
    </mc:Choice>
  </mc:AlternateContent>
  <xr:revisionPtr revIDLastSave="0" documentId="13_ncr:1_{49827AC7-5018-4AAD-AECD-85E252B8A199}" xr6:coauthVersionLast="47" xr6:coauthVersionMax="47" xr10:uidLastSave="{00000000-0000-0000-0000-000000000000}"/>
  <bookViews>
    <workbookView xWindow="-120" yWindow="-120" windowWidth="29040" windowHeight="15720" firstSheet="8" activeTab="11" xr2:uid="{2159DCA7-6F25-4124-8E1B-72A5B3FD8315}"/>
  </bookViews>
  <sheets>
    <sheet name="Customers" sheetId="1" r:id="rId1"/>
    <sheet name="categories" sheetId="5" r:id="rId2"/>
    <sheet name="Products" sheetId="2" r:id="rId3"/>
    <sheet name="Detail1" sheetId="25" state="hidden" r:id="rId4"/>
    <sheet name="Detail2" sheetId="26" state="hidden" r:id="rId5"/>
    <sheet name="Detail3" sheetId="27" state="hidden" r:id="rId6"/>
    <sheet name="customer_pivot_practice" sheetId="13" r:id="rId7"/>
    <sheet name="dashboard" sheetId="30" r:id="rId8"/>
    <sheet name="Product_pivot_practice" sheetId="21" r:id="rId9"/>
    <sheet name="category_pivot_practice" sheetId="22" r:id="rId10"/>
    <sheet name="Detail4" sheetId="29" state="hidden" r:id="rId11"/>
    <sheet name="payments_pivot_practice" sheetId="23" r:id="rId12"/>
    <sheet name="Orders" sheetId="3" r:id="rId13"/>
    <sheet name="Order_items" sheetId="6" r:id="rId14"/>
    <sheet name="Payments" sheetId="7" r:id="rId15"/>
    <sheet name="Practice" sheetId="4" r:id="rId16"/>
  </sheets>
  <definedNames>
    <definedName name="_xlcn.WorksheetConnection_day1519.xlsxTable11" hidden="1">Table1[]</definedName>
    <definedName name="_xlcn.WorksheetConnection_day1519.xlsxtbl_customers1" hidden="1">tbl_customers[]</definedName>
    <definedName name="_xlcn.WorksheetConnection_day1519.xlsxtbl_product1" hidden="1">tbl_product[]</definedName>
    <definedName name="NativeTimeline_order_date">#N/A</definedName>
    <definedName name="Slicer_category_name">#N/A</definedName>
    <definedName name="Slicer_payment_method">#N/A</definedName>
    <definedName name="tbl_categories">categories!$A$2:$B$6</definedName>
    <definedName name="tbl_orders">Orders!$A$2:$E$9</definedName>
    <definedName name="tbl_products">Products!$A$2:$D$11</definedName>
  </definedNames>
  <calcPr calcId="191029"/>
  <pivotCaches>
    <pivotCache cacheId="242"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product" name="tbl_product" connection="WorksheetConnection_day 15-19.xlsx!tbl_product"/>
          <x15:modelTable id="tbl_customers" name="tbl_customers" connection="WorksheetConnection_day 15-19.xlsx!tbl_customers"/>
          <x15:modelTable id="Table1" name="tbl_orders" connection="WorksheetConnection_day 15-19.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3" i="6" l="1"/>
  <c r="M4" i="6"/>
  <c r="M5" i="6"/>
  <c r="M6" i="6"/>
  <c r="M7" i="6"/>
  <c r="M8" i="6"/>
  <c r="M9" i="6"/>
  <c r="M10" i="6"/>
  <c r="M2" i="6"/>
  <c r="L3" i="6"/>
  <c r="H2" i="6"/>
  <c r="L4" i="6"/>
  <c r="L5" i="6"/>
  <c r="L6" i="6"/>
  <c r="L7" i="6"/>
  <c r="L8" i="6"/>
  <c r="L9" i="6"/>
  <c r="L10" i="6"/>
  <c r="L2" i="6"/>
  <c r="K3" i="6"/>
  <c r="K4" i="6"/>
  <c r="K5" i="6"/>
  <c r="K6" i="6"/>
  <c r="K7" i="6"/>
  <c r="K8" i="6"/>
  <c r="K9" i="6"/>
  <c r="K10" i="6"/>
  <c r="K2" i="6"/>
  <c r="J3" i="6"/>
  <c r="I3" i="6" s="1"/>
  <c r="J4" i="6"/>
  <c r="I4" i="6" s="1"/>
  <c r="J5" i="6"/>
  <c r="I5" i="6" s="1"/>
  <c r="J6" i="6"/>
  <c r="I6" i="6" s="1"/>
  <c r="J7" i="6"/>
  <c r="I7" i="6" s="1"/>
  <c r="J8" i="6"/>
  <c r="I8" i="6" s="1"/>
  <c r="J9" i="6"/>
  <c r="I9" i="6" s="1"/>
  <c r="J10" i="6"/>
  <c r="I10" i="6" s="1"/>
  <c r="J2" i="6"/>
  <c r="I2" i="6" s="1"/>
  <c r="E7" i="2"/>
  <c r="E6" i="2"/>
  <c r="E5" i="2"/>
  <c r="E4" i="2"/>
  <c r="E3" i="2"/>
  <c r="E2" i="2"/>
  <c r="H3" i="6"/>
  <c r="H4" i="6"/>
  <c r="H5" i="6"/>
  <c r="H6" i="6"/>
  <c r="H7" i="6"/>
  <c r="H8" i="6"/>
  <c r="H9" i="6"/>
  <c r="H10" i="6"/>
  <c r="B15" i="6"/>
  <c r="C15" i="6"/>
  <c r="E15" i="6"/>
  <c r="F15" i="6"/>
  <c r="G15" i="6"/>
  <c r="I15" i="6"/>
  <c r="J15" i="6"/>
  <c r="K15" i="6"/>
  <c r="B16" i="6"/>
  <c r="C16" i="6"/>
  <c r="E16" i="6"/>
  <c r="F16" i="6"/>
  <c r="G16" i="6"/>
  <c r="I16" i="6"/>
  <c r="J16" i="6"/>
  <c r="K16" i="6"/>
  <c r="B17" i="6"/>
  <c r="C17" i="6"/>
  <c r="E17" i="6"/>
  <c r="F17" i="6"/>
  <c r="G17" i="6"/>
  <c r="I17" i="6"/>
  <c r="J17" i="6"/>
  <c r="K17" i="6"/>
  <c r="B18" i="6"/>
  <c r="C18" i="6"/>
  <c r="E18" i="6"/>
  <c r="F18" i="6"/>
  <c r="G18" i="6"/>
  <c r="I18" i="6"/>
  <c r="J18" i="6"/>
  <c r="K18" i="6"/>
  <c r="B19" i="6"/>
  <c r="C19" i="6"/>
  <c r="E19" i="6"/>
  <c r="F19" i="6"/>
  <c r="G19" i="6"/>
  <c r="I19" i="6"/>
  <c r="J19" i="6"/>
  <c r="K19" i="6"/>
  <c r="B20" i="6"/>
  <c r="C20" i="6"/>
  <c r="E20" i="6"/>
  <c r="F20" i="6"/>
  <c r="G20" i="6"/>
  <c r="I20" i="6"/>
  <c r="J20" i="6"/>
  <c r="K20" i="6"/>
  <c r="B21" i="6"/>
  <c r="C21" i="6"/>
  <c r="E21" i="6"/>
  <c r="F21" i="6"/>
  <c r="G21" i="6"/>
  <c r="I21" i="6"/>
  <c r="J21" i="6"/>
  <c r="K21" i="6"/>
  <c r="B22" i="6"/>
  <c r="C22" i="6"/>
  <c r="E22" i="6"/>
  <c r="F22" i="6"/>
  <c r="G22" i="6"/>
  <c r="I22" i="6"/>
  <c r="J22" i="6"/>
  <c r="K22" i="6"/>
  <c r="B23" i="6"/>
  <c r="C23" i="6"/>
  <c r="E23" i="6"/>
  <c r="F23" i="6"/>
  <c r="G23" i="6"/>
  <c r="I23" i="6"/>
  <c r="J23" i="6"/>
  <c r="K23" i="6"/>
  <c r="G3" i="6"/>
  <c r="G2" i="6"/>
  <c r="R3" i="3"/>
  <c r="R4" i="3"/>
  <c r="R5" i="3"/>
  <c r="R6" i="3"/>
  <c r="R7" i="3"/>
  <c r="R8" i="3"/>
  <c r="R9" i="3"/>
  <c r="R2" i="3"/>
  <c r="Q3" i="3"/>
  <c r="Q4" i="3"/>
  <c r="Q5" i="3"/>
  <c r="Q6" i="3"/>
  <c r="Q7" i="3"/>
  <c r="Q8" i="3"/>
  <c r="Q9" i="3"/>
  <c r="Q2" i="3"/>
  <c r="P3" i="3"/>
  <c r="P4" i="3"/>
  <c r="P5" i="3"/>
  <c r="P6" i="3"/>
  <c r="P7" i="3"/>
  <c r="P8" i="3"/>
  <c r="P9" i="3"/>
  <c r="P2" i="3"/>
  <c r="G4" i="6"/>
  <c r="G5" i="6"/>
  <c r="G6" i="6"/>
  <c r="G7" i="6"/>
  <c r="G8" i="6"/>
  <c r="G9" i="6"/>
  <c r="G10" i="6"/>
  <c r="F3" i="6"/>
  <c r="F4" i="6"/>
  <c r="F5" i="6"/>
  <c r="F6" i="6"/>
  <c r="F7" i="6"/>
  <c r="F8" i="6"/>
  <c r="F9" i="6"/>
  <c r="F10" i="6"/>
  <c r="F2" i="6"/>
  <c r="N3" i="3"/>
  <c r="N4" i="3"/>
  <c r="N5" i="3"/>
  <c r="N6" i="3"/>
  <c r="N7" i="3"/>
  <c r="N8" i="3"/>
  <c r="N9" i="3"/>
  <c r="N2" i="3"/>
  <c r="M2" i="3"/>
  <c r="M9" i="3"/>
  <c r="M3" i="3"/>
  <c r="M4" i="3"/>
  <c r="M5" i="3"/>
  <c r="M6" i="3"/>
  <c r="M7" i="3"/>
  <c r="M8" i="3"/>
  <c r="L2" i="3"/>
  <c r="L3" i="3"/>
  <c r="L4" i="3"/>
  <c r="L5" i="3"/>
  <c r="L6" i="3"/>
  <c r="L7" i="3"/>
  <c r="L8" i="3"/>
  <c r="L9" i="3"/>
  <c r="J3" i="3"/>
  <c r="J4" i="3"/>
  <c r="J5" i="3"/>
  <c r="J6" i="3"/>
  <c r="J7" i="3"/>
  <c r="J8" i="3"/>
  <c r="J9" i="3"/>
  <c r="J2" i="3"/>
  <c r="I3" i="3"/>
  <c r="I4" i="3"/>
  <c r="I5" i="3"/>
  <c r="I6" i="3"/>
  <c r="I7" i="3"/>
  <c r="I8" i="3"/>
  <c r="I9" i="3"/>
  <c r="I2" i="3"/>
  <c r="H3" i="3"/>
  <c r="H4" i="3"/>
  <c r="H5" i="3"/>
  <c r="H6" i="3"/>
  <c r="H7" i="3"/>
  <c r="H8" i="3"/>
  <c r="H9" i="3"/>
  <c r="H2" i="3"/>
  <c r="I5" i="4" a="1"/>
  <c r="I5" i="4" s="1"/>
  <c r="I4" i="4" a="1"/>
  <c r="I4" i="4" s="1"/>
  <c r="I3" i="4" a="1"/>
  <c r="I3" i="4" s="1"/>
  <c r="G2" i="4"/>
  <c r="F2" i="4"/>
  <c r="E2" i="4"/>
  <c r="D2" i="4"/>
  <c r="C2" i="4"/>
  <c r="I2" i="4" a="1"/>
  <c r="I2" i="4" s="1"/>
  <c r="H5" i="4"/>
  <c r="H4" i="4"/>
  <c r="H3" i="4"/>
  <c r="H2" i="4"/>
  <c r="AJ21" i="6"/>
  <c r="AJ21" i="6"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95438E-CA9B-46A0-9C4B-99AABEF53F0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054CBCA-D040-4C01-9723-E751BB4BBE6A}" name="WorksheetConnection_day 15-19.xlsx!Table1" type="102" refreshedVersion="8" minRefreshableVersion="5">
    <extLst>
      <ext xmlns:x15="http://schemas.microsoft.com/office/spreadsheetml/2010/11/main" uri="{DE250136-89BD-433C-8126-D09CA5730AF9}">
        <x15:connection id="Table1">
          <x15:rangePr sourceName="_xlcn.WorksheetConnection_day1519.xlsxTable11"/>
        </x15:connection>
      </ext>
    </extLst>
  </connection>
  <connection id="3" xr16:uid="{9C114DB8-FAB7-4E5F-8132-BB8919F3D0E2}" name="WorksheetConnection_day 15-19.xlsx!tbl_customers" type="102" refreshedVersion="8" minRefreshableVersion="5">
    <extLst>
      <ext xmlns:x15="http://schemas.microsoft.com/office/spreadsheetml/2010/11/main" uri="{DE250136-89BD-433C-8126-D09CA5730AF9}">
        <x15:connection id="tbl_customers">
          <x15:rangePr sourceName="_xlcn.WorksheetConnection_day1519.xlsxtbl_customers1"/>
        </x15:connection>
      </ext>
    </extLst>
  </connection>
  <connection id="4" xr16:uid="{B8A6D80B-4AAE-4706-93FC-2B7CD391AAB1}" name="WorksheetConnection_day 15-19.xlsx!tbl_product" type="102" refreshedVersion="8" minRefreshableVersion="5">
    <extLst>
      <ext xmlns:x15="http://schemas.microsoft.com/office/spreadsheetml/2010/11/main" uri="{DE250136-89BD-433C-8126-D09CA5730AF9}">
        <x15:connection id="tbl_product">
          <x15:rangePr sourceName="_xlcn.WorksheetConnection_day1519.xlsxtbl_product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<sst xmlns="http://schemas.openxmlformats.org/spreadsheetml/2006/main" count="365" uniqueCount="140">
  <si>
    <t>John</t>
  </si>
  <si>
    <t>Smith</t>
  </si>
  <si>
    <t>New York</t>
  </si>
  <si>
    <t>Emma</t>
  </si>
  <si>
    <t>Johnson</t>
  </si>
  <si>
    <t>Chicago</t>
  </si>
  <si>
    <t>Michael</t>
  </si>
  <si>
    <t>Brown</t>
  </si>
  <si>
    <t>Los Angeles</t>
  </si>
  <si>
    <t>Sophia</t>
  </si>
  <si>
    <t>Davis</t>
  </si>
  <si>
    <t>Houston</t>
  </si>
  <si>
    <t>Daniel</t>
  </si>
  <si>
    <t>Miller</t>
  </si>
  <si>
    <t>Phoenix</t>
  </si>
  <si>
    <t>Olivia</t>
  </si>
  <si>
    <t>Wilson</t>
  </si>
  <si>
    <t>Dallas</t>
  </si>
  <si>
    <t>James</t>
  </si>
  <si>
    <t>Moore</t>
  </si>
  <si>
    <t>Miami</t>
  </si>
  <si>
    <t>Ava</t>
  </si>
  <si>
    <t>Taylor</t>
  </si>
  <si>
    <t>Seattle</t>
  </si>
  <si>
    <t>William</t>
  </si>
  <si>
    <t>Anderson</t>
  </si>
  <si>
    <t>Boston</t>
  </si>
  <si>
    <t>Isabella</t>
  </si>
  <si>
    <t>Thomas</t>
  </si>
  <si>
    <t>Denver</t>
  </si>
  <si>
    <t>Benjamin</t>
  </si>
  <si>
    <t>Jackson</t>
  </si>
  <si>
    <t>Mia</t>
  </si>
  <si>
    <t>White</t>
  </si>
  <si>
    <t>Lucas</t>
  </si>
  <si>
    <t>Harris</t>
  </si>
  <si>
    <t>Charlotte</t>
  </si>
  <si>
    <t>Martin</t>
  </si>
  <si>
    <t>Henry</t>
  </si>
  <si>
    <t>Thompson</t>
  </si>
  <si>
    <t>Amelia</t>
  </si>
  <si>
    <t>Garcia</t>
  </si>
  <si>
    <t>Alexander</t>
  </si>
  <si>
    <t>Martinez</t>
  </si>
  <si>
    <t>Harper</t>
  </si>
  <si>
    <t>Robinson</t>
  </si>
  <si>
    <t>Ethan</t>
  </si>
  <si>
    <t>Clark</t>
  </si>
  <si>
    <t>Evelyn</t>
  </si>
  <si>
    <t>Rodriguez</t>
  </si>
  <si>
    <t>Jacob</t>
  </si>
  <si>
    <t>Lewis</t>
  </si>
  <si>
    <t>Abigail</t>
  </si>
  <si>
    <t>Lee</t>
  </si>
  <si>
    <t>Logan</t>
  </si>
  <si>
    <t>Walker</t>
  </si>
  <si>
    <t>Emily</t>
  </si>
  <si>
    <t>Hall</t>
  </si>
  <si>
    <t>Sebastian</t>
  </si>
  <si>
    <t>Allen</t>
  </si>
  <si>
    <t>Ella</t>
  </si>
  <si>
    <t>Young</t>
  </si>
  <si>
    <t>Jack</t>
  </si>
  <si>
    <t>King</t>
  </si>
  <si>
    <t>Scarlett</t>
  </si>
  <si>
    <t>Wright</t>
  </si>
  <si>
    <t>Aiden</t>
  </si>
  <si>
    <t>Scott</t>
  </si>
  <si>
    <t>Grace</t>
  </si>
  <si>
    <t>Green</t>
  </si>
  <si>
    <t>customer_id</t>
  </si>
  <si>
    <t>first_name</t>
  </si>
  <si>
    <t>last_name</t>
  </si>
  <si>
    <t>city</t>
  </si>
  <si>
    <t>registration_date</t>
  </si>
  <si>
    <t>order_id</t>
  </si>
  <si>
    <t>order_date</t>
  </si>
  <si>
    <t>status</t>
  </si>
  <si>
    <t>amount</t>
  </si>
  <si>
    <t>Completed</t>
  </si>
  <si>
    <t>Cancelled</t>
  </si>
  <si>
    <t>120.50</t>
  </si>
  <si>
    <t>75.00</t>
  </si>
  <si>
    <t>210.99</t>
  </si>
  <si>
    <t>Pending</t>
  </si>
  <si>
    <t>55.50</t>
  </si>
  <si>
    <t>330.00</t>
  </si>
  <si>
    <t>category_id</t>
  </si>
  <si>
    <t>category_name</t>
  </si>
  <si>
    <t>Laptops</t>
  </si>
  <si>
    <t>Smartphones</t>
  </si>
  <si>
    <t>Accessories</t>
  </si>
  <si>
    <t>Monitors</t>
  </si>
  <si>
    <t>Gaming</t>
  </si>
  <si>
    <t>order_item_id</t>
  </si>
  <si>
    <t>product_id</t>
  </si>
  <si>
    <t>quantity</t>
  </si>
  <si>
    <t>unit_price</t>
  </si>
  <si>
    <t>payment_id</t>
  </si>
  <si>
    <t>payment_method</t>
  </si>
  <si>
    <t>payment_status</t>
  </si>
  <si>
    <t>payment_date</t>
  </si>
  <si>
    <t>Card</t>
  </si>
  <si>
    <t>Paid</t>
  </si>
  <si>
    <t>Cash</t>
  </si>
  <si>
    <t>Transfer</t>
  </si>
  <si>
    <t>product_name</t>
  </si>
  <si>
    <t>price</t>
  </si>
  <si>
    <t>MacBook Air M3</t>
  </si>
  <si>
    <t>ThinkPad T14</t>
  </si>
  <si>
    <t>iPhone 15</t>
  </si>
  <si>
    <t>Samsung S24</t>
  </si>
  <si>
    <t>Mechanical Keyboard</t>
  </si>
  <si>
    <t>Wireless Mouse</t>
  </si>
  <si>
    <t>Dell 27 Monitor</t>
  </si>
  <si>
    <t>LG Ultrawide</t>
  </si>
  <si>
    <t>PlayStation 5</t>
  </si>
  <si>
    <t>Xbox Series X</t>
  </si>
  <si>
    <t>Customer</t>
  </si>
  <si>
    <t>Revenue</t>
  </si>
  <si>
    <t>Alex</t>
  </si>
  <si>
    <t>Anna</t>
  </si>
  <si>
    <t>AVG</t>
  </si>
  <si>
    <t>SUM</t>
  </si>
  <si>
    <t>MAX</t>
  </si>
  <si>
    <t>MIN</t>
  </si>
  <si>
    <t>COUNT</t>
  </si>
  <si>
    <t>SEGMENT</t>
  </si>
  <si>
    <t>SEGMENT 2</t>
  </si>
  <si>
    <t>Sum of quantity</t>
  </si>
  <si>
    <t>Row Labels</t>
  </si>
  <si>
    <t>Grand Total</t>
  </si>
  <si>
    <t>revenue</t>
  </si>
  <si>
    <t>Sum of revenue</t>
  </si>
  <si>
    <t>Count of payment_status</t>
  </si>
  <si>
    <t>Details for Average of unit_price - customer_id: 2</t>
  </si>
  <si>
    <t>Details for Average of unit_price - customer_id: 1</t>
  </si>
  <si>
    <t>Payment method</t>
  </si>
  <si>
    <t>Details for Count of payment_method - payment_method: Card</t>
  </si>
  <si>
    <t>Sum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</si>
</sst>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204"/>
      <scheme val="minor"/>
    </font>
    <font>
      <b/>
      <sz val="11"/>
      <color theme="0"/>
      <name val="Aptos Narrow"/>
      <family val="2"/>
      <charset val="204"/>
      <scheme val="minor"/>
    </font>
    <font>
      <b/>
      <sz val="11"/>
      <color theme="1"/>
      <name val="Aptos Narrow"/>
      <family val="2"/>
      <charset val="204"/>
      <scheme val="minor"/>
    </font>
    <font>
      <sz val="8"/>
      <name val="Aptos Narrow"/>
      <family val="2"/>
      <charset val="204"/>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top style="thin">
        <color theme="4" tint="0.39997558519241921"/>
      </top>
      <bottom/>
      <diagonal/>
    </border>
  </borders>
  <cellStyleXfs count="1">
    <xf numFmtId="0" fontId="0" fillId="0" borderId="0"/>
  </cellStyleXfs>
  <cellXfs count="26">
    <xf numFmtId="0" fontId="0" fillId="0" borderId="0" xfId="0"/>
    <xf numFmtId="14" fontId="0" fillId="0" borderId="0" xfId="0" applyNumberFormat="1"/>
    <xf numFmtId="0" fontId="0" fillId="3" borderId="1" xfId="0" applyFill="1" applyBorder="1"/>
    <xf numFmtId="0" fontId="0" fillId="3" borderId="2" xfId="0" applyFill="1" applyBorder="1"/>
    <xf numFmtId="0" fontId="1" fillId="2" borderId="3" xfId="0" applyFont="1" applyFill="1" applyBorder="1"/>
    <xf numFmtId="0" fontId="1" fillId="2" borderId="4" xfId="0" applyFont="1" applyFill="1" applyBorder="1"/>
    <xf numFmtId="0" fontId="0" fillId="3" borderId="3" xfId="0" applyFill="1" applyBorder="1"/>
    <xf numFmtId="0" fontId="0" fillId="3" borderId="4" xfId="0" applyFill="1" applyBorder="1"/>
    <xf numFmtId="0" fontId="0" fillId="0" borderId="3" xfId="0" applyBorder="1"/>
    <xf numFmtId="0" fontId="0" fillId="0" borderId="4" xfId="0" applyBorder="1"/>
    <xf numFmtId="0" fontId="0" fillId="3" borderId="5" xfId="0" applyFill="1" applyBorder="1"/>
    <xf numFmtId="14" fontId="0" fillId="3" borderId="5" xfId="0" applyNumberFormat="1" applyFill="1" applyBorder="1"/>
    <xf numFmtId="0" fontId="0" fillId="0" borderId="5" xfId="0" applyBorder="1"/>
    <xf numFmtId="14" fontId="0" fillId="0" borderId="5" xfId="0" applyNumberFormat="1" applyBorder="1"/>
    <xf numFmtId="0" fontId="1" fillId="2" borderId="0" xfId="0" applyFont="1" applyFill="1"/>
    <xf numFmtId="2" fontId="1" fillId="2" borderId="0" xfId="0" applyNumberFormat="1" applyFont="1" applyFill="1"/>
    <xf numFmtId="2" fontId="0" fillId="3" borderId="5" xfId="0" applyNumberFormat="1" applyFill="1" applyBorder="1"/>
    <xf numFmtId="2" fontId="0" fillId="0" borderId="5" xfId="0" applyNumberFormat="1" applyBorder="1"/>
    <xf numFmtId="2"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4" fontId="0" fillId="0" borderId="0" xfId="0" applyNumberFormat="1"/>
    <xf numFmtId="0" fontId="2" fillId="0" borderId="0" xfId="0" applyFont="1"/>
    <xf numFmtId="0" fontId="0" fillId="0" borderId="0" xfId="0" applyNumberFormat="1"/>
  </cellXfs>
  <cellStyles count="1">
    <cellStyle name="Normal" xfId="0" builtinId="0"/>
  </cellStyles>
  <dxfs count="54">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charset val="204"/>
        <scheme val="minor"/>
      </font>
      <alignment horizontal="center" vertical="center" textRotation="0" wrapText="1" indent="0" justifyLastLine="0" shrinkToFit="0" readingOrder="0"/>
    </dxf>
    <dxf>
      <numFmt numFmtId="19" formatCode="dd/mm/yyyy"/>
    </dxf>
    <dxf>
      <numFmt numFmtId="19" formatCode="dd/mm/yyyy"/>
    </dxf>
    <dxf>
      <numFmt numFmtId="2" formatCode="0.00"/>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numFmt numFmtId="19" formatCode="dd/mm/yyyy"/>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Aptos Narrow"/>
        <family val="2"/>
        <charset val="204"/>
        <scheme val="minor"/>
      </font>
      <fill>
        <patternFill patternType="solid">
          <fgColor theme="4"/>
          <bgColor theme="4"/>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strike val="0"/>
        <condense val="0"/>
        <extend val="0"/>
        <outline val="0"/>
        <shadow val="0"/>
        <u val="none"/>
        <vertAlign val="baseline"/>
        <sz val="11"/>
        <color theme="1"/>
        <name val="Aptos Narrow"/>
        <family val="2"/>
        <charset val="204"/>
        <scheme val="minor"/>
      </font>
    </dxf>
    <dxf>
      <font>
        <b val="0"/>
        <i val="0"/>
        <strike val="0"/>
        <condense val="0"/>
        <extend val="0"/>
        <outline val="0"/>
        <shadow val="0"/>
        <u val="none"/>
        <vertAlign val="baseline"/>
        <sz val="11"/>
        <color theme="1"/>
        <name val="Aptos Narrow"/>
        <family val="2"/>
        <charset val="204"/>
        <scheme val="minor"/>
      </font>
      <numFmt numFmtId="2" formatCode="0.00"/>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charset val="204"/>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Aptos Narrow"/>
        <family val="2"/>
        <charset val="204"/>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charset val="204"/>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charset val="204"/>
        <scheme val="minor"/>
      </font>
    </dxf>
    <dxf>
      <font>
        <b/>
        <i val="0"/>
        <strike val="0"/>
        <condense val="0"/>
        <extend val="0"/>
        <outline val="0"/>
        <shadow val="0"/>
        <u val="none"/>
        <vertAlign val="baseline"/>
        <sz val="11"/>
        <color theme="0"/>
        <name val="Aptos Narrow"/>
        <family val="2"/>
        <charset val="204"/>
        <scheme val="minor"/>
      </font>
      <fill>
        <patternFill patternType="solid">
          <fgColor theme="4"/>
          <bgColor theme="4"/>
        </patternFill>
      </fil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eetMetadata" Target="metadata.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15-19.xlsx]customer_pivot_practice!PivotTable6</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ru-R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customer_pivot_practice!$B$3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customer_pivot_practice!$A$4:$A$10</c:f>
              <c:strCache>
                <c:ptCount val="6"/>
                <c:pt idx="0">
                  <c:v>1</c:v>
                </c:pt>
                <c:pt idx="1">
                  <c:v>2</c:v>
                </c:pt>
                <c:pt idx="2">
                  <c:v>3</c:v>
                </c:pt>
                <c:pt idx="3">
                  <c:v>4</c:v>
                </c:pt>
                <c:pt idx="4">
                  <c:v>5</c:v>
                </c:pt>
                <c:pt idx="5">
                  <c:v>6</c:v>
                </c:pt>
              </c:strCache>
            </c:strRef>
          </c:cat>
          <c:val>
            <c:numRef>
              <c:f>customer_pivot_practice!$B$4:$B$10</c:f>
              <c:numCache>
                <c:formatCode>General</c:formatCode>
                <c:ptCount val="6"/>
                <c:pt idx="0">
                  <c:v>1420</c:v>
                </c:pt>
                <c:pt idx="1">
                  <c:v>2099</c:v>
                </c:pt>
                <c:pt idx="2">
                  <c:v>560</c:v>
                </c:pt>
                <c:pt idx="3">
                  <c:v>950</c:v>
                </c:pt>
                <c:pt idx="4">
                  <c:v>550</c:v>
                </c:pt>
                <c:pt idx="5">
                  <c:v>530</c:v>
                </c:pt>
              </c:numCache>
            </c:numRef>
          </c:val>
          <c:extLst>
            <c:ext xmlns:c16="http://schemas.microsoft.com/office/drawing/2014/chart" uri="{C3380CC4-5D6E-409C-BE32-E72D297353CC}">
              <c16:uniqueId val="{00000000-1399-4370-B765-3855553CEE39}"/>
            </c:ext>
          </c:extLst>
        </c:ser>
        <c:dLbls>
          <c:showLegendKey val="0"/>
          <c:showVal val="0"/>
          <c:showCatName val="0"/>
          <c:showSerName val="0"/>
          <c:showPercent val="0"/>
          <c:showBubbleSize val="0"/>
        </c:dLbls>
        <c:gapWidth val="100"/>
        <c:overlap val="-24"/>
        <c:axId val="748677007"/>
        <c:axId val="870260943"/>
      </c:barChart>
      <c:catAx>
        <c:axId val="74867700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customer_id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ru-RU"/>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ru-RU"/>
          </a:p>
        </c:txPr>
        <c:crossAx val="870260943"/>
        <c:crosses val="autoZero"/>
        <c:auto val="1"/>
        <c:lblAlgn val="ctr"/>
        <c:lblOffset val="100"/>
        <c:noMultiLvlLbl val="0"/>
      </c:catAx>
      <c:valAx>
        <c:axId val="87026094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 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ru-RU"/>
          </a:p>
        </c:txPr>
        <c:crossAx val="74867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ru-RU"/>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15-19.xlsx]customer_pivot_practice!PivotTable6</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ru-R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customer_pivot_practice!$B$3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customer_pivot_practice!$A$4:$A$10</c:f>
              <c:strCache>
                <c:ptCount val="6"/>
                <c:pt idx="0">
                  <c:v>1</c:v>
                </c:pt>
                <c:pt idx="1">
                  <c:v>2</c:v>
                </c:pt>
                <c:pt idx="2">
                  <c:v>3</c:v>
                </c:pt>
                <c:pt idx="3">
                  <c:v>4</c:v>
                </c:pt>
                <c:pt idx="4">
                  <c:v>5</c:v>
                </c:pt>
                <c:pt idx="5">
                  <c:v>6</c:v>
                </c:pt>
              </c:strCache>
            </c:strRef>
          </c:cat>
          <c:val>
            <c:numRef>
              <c:f>customer_pivot_practice!$B$4:$B$10</c:f>
              <c:numCache>
                <c:formatCode>General</c:formatCode>
                <c:ptCount val="6"/>
                <c:pt idx="0">
                  <c:v>1420</c:v>
                </c:pt>
                <c:pt idx="1">
                  <c:v>2099</c:v>
                </c:pt>
                <c:pt idx="2">
                  <c:v>560</c:v>
                </c:pt>
                <c:pt idx="3">
                  <c:v>950</c:v>
                </c:pt>
                <c:pt idx="4">
                  <c:v>550</c:v>
                </c:pt>
                <c:pt idx="5">
                  <c:v>530</c:v>
                </c:pt>
              </c:numCache>
            </c:numRef>
          </c:val>
          <c:extLst>
            <c:ext xmlns:c16="http://schemas.microsoft.com/office/drawing/2014/chart" uri="{C3380CC4-5D6E-409C-BE32-E72D297353CC}">
              <c16:uniqueId val="{00000004-7EA8-459F-97B4-385F23B294F4}"/>
            </c:ext>
          </c:extLst>
        </c:ser>
        <c:dLbls>
          <c:showLegendKey val="0"/>
          <c:showVal val="0"/>
          <c:showCatName val="0"/>
          <c:showSerName val="0"/>
          <c:showPercent val="0"/>
          <c:showBubbleSize val="0"/>
        </c:dLbls>
        <c:gapWidth val="100"/>
        <c:overlap val="-24"/>
        <c:axId val="748677007"/>
        <c:axId val="870260943"/>
      </c:barChart>
      <c:catAx>
        <c:axId val="74867700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customer_id</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70260943"/>
        <c:crosses val="autoZero"/>
        <c:auto val="1"/>
        <c:lblAlgn val="ctr"/>
        <c:lblOffset val="100"/>
        <c:noMultiLvlLbl val="0"/>
      </c:catAx>
      <c:valAx>
        <c:axId val="870260943"/>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 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48677007"/>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15-19.xlsx]Product_pivot_practice!PivotTable6</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ru-R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Product_pivot_practice!$B$3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Product_pivot_practice!$A$4:$A$13</c:f>
              <c:strCache>
                <c:ptCount val="9"/>
                <c:pt idx="0">
                  <c:v>Wireless Mouse</c:v>
                </c:pt>
                <c:pt idx="1">
                  <c:v>Mechanical Keyboard</c:v>
                </c:pt>
                <c:pt idx="2">
                  <c:v>Xbox Series X</c:v>
                </c:pt>
                <c:pt idx="3">
                  <c:v>PlayStation 5</c:v>
                </c:pt>
                <c:pt idx="4">
                  <c:v>Dell 27 Monitor</c:v>
                </c:pt>
                <c:pt idx="5">
                  <c:v>Samsung S24</c:v>
                </c:pt>
                <c:pt idx="6">
                  <c:v>iPhone 15</c:v>
                </c:pt>
                <c:pt idx="7">
                  <c:v>ThinkPad T14</c:v>
                </c:pt>
                <c:pt idx="8">
                  <c:v>MacBook Air M3</c:v>
                </c:pt>
              </c:strCache>
            </c:strRef>
          </c:cat>
          <c:val>
            <c:numRef>
              <c:f>Product_pivot_practice!$B$4:$B$13</c:f>
              <c:numCache>
                <c:formatCode>General</c:formatCode>
                <c:ptCount val="9"/>
                <c:pt idx="0">
                  <c:v>100</c:v>
                </c:pt>
                <c:pt idx="1">
                  <c:v>120</c:v>
                </c:pt>
                <c:pt idx="2">
                  <c:v>530</c:v>
                </c:pt>
                <c:pt idx="3">
                  <c:v>550</c:v>
                </c:pt>
                <c:pt idx="4">
                  <c:v>560</c:v>
                </c:pt>
                <c:pt idx="5">
                  <c:v>950</c:v>
                </c:pt>
                <c:pt idx="6">
                  <c:v>999</c:v>
                </c:pt>
                <c:pt idx="7">
                  <c:v>1100</c:v>
                </c:pt>
                <c:pt idx="8">
                  <c:v>1200</c:v>
                </c:pt>
              </c:numCache>
            </c:numRef>
          </c:val>
          <c:extLst>
            <c:ext xmlns:c16="http://schemas.microsoft.com/office/drawing/2014/chart" uri="{C3380CC4-5D6E-409C-BE32-E72D297353CC}">
              <c16:uniqueId val="{00000000-A810-49D1-BFBE-A8E2610E9C47}"/>
            </c:ext>
          </c:extLst>
        </c:ser>
        <c:dLbls>
          <c:showLegendKey val="0"/>
          <c:showVal val="0"/>
          <c:showCatName val="0"/>
          <c:showSerName val="0"/>
          <c:showPercent val="0"/>
          <c:showBubbleSize val="0"/>
        </c:dLbls>
        <c:gapWidth val="150"/>
        <c:overlap val="100"/>
        <c:axId val="947154831"/>
        <c:axId val="870247023"/>
      </c:barChart>
      <c:catAx>
        <c:axId val="94715483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ProDUCT NAME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70247023"/>
        <c:crosses val="autoZero"/>
        <c:auto val="1"/>
        <c:lblAlgn val="ctr"/>
        <c:lblOffset val="100"/>
        <c:noMultiLvlLbl val="0"/>
      </c:catAx>
      <c:valAx>
        <c:axId val="87024702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4715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[day 15-19.xlsx]category_pivot_practice!PivotTable7</c:name>
    <c:fmtId val="15"/>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tint val="54000"/>
            </a:schemeClr>
          </a:solidFill>
          <a:ln>
            <a:noFill/>
          </a:ln>
          <a:effectLst>
            <a:outerShdw blurRad="317500" algn="ctr" rotWithShape="0">
              <a:prstClr val="black">
                <a:alpha val="25000"/>
              </a:prstClr>
            </a:outerShdw>
          </a:effectLst>
        </c:spPr>
      </c:pivotFmt>
      <c:pivotFmt>
        <c:idx val="10"/>
        <c:spPr>
          <a:solidFill>
            <a:schemeClr val="accent1">
              <a:tint val="77000"/>
            </a:schemeClr>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hade val="76000"/>
            </a:schemeClr>
          </a:solidFill>
          <a:ln>
            <a:noFill/>
          </a:ln>
          <a:effectLst>
            <a:outerShdw blurRad="317500" algn="ctr" rotWithShape="0">
              <a:prstClr val="black">
                <a:alpha val="25000"/>
              </a:prstClr>
            </a:outerShdw>
          </a:effectLst>
        </c:spPr>
      </c:pivotFmt>
      <c:pivotFmt>
        <c:idx val="13"/>
        <c:spPr>
          <a:solidFill>
            <a:schemeClr val="accent1">
              <a:shade val="53000"/>
            </a:schemeClr>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category_pivot_practice!$B$3</c:f>
              <c:strCache>
                <c:ptCount val="1"/>
                <c:pt idx="0">
                  <c:v>Total</c:v>
                </c:pt>
              </c:strCache>
            </c:strRef>
          </c:tx>
          <c:dPt>
            <c:idx val="0"/>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E2A-42AE-AB07-C27AB569F5C4}"/>
              </c:ext>
            </c:extLst>
          </c:dPt>
          <c:dPt>
            <c:idx val="1"/>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E2A-42AE-AB07-C27AB569F5C4}"/>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E2A-42AE-AB07-C27AB569F5C4}"/>
              </c:ext>
            </c:extLst>
          </c:dPt>
          <c:dPt>
            <c:idx val="3"/>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E2A-42AE-AB07-C27AB569F5C4}"/>
              </c:ext>
            </c:extLst>
          </c:dPt>
          <c:dPt>
            <c:idx val="4"/>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E2A-42AE-AB07-C27AB569F5C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category_pivot_practice!$A$4:$A$9</c:f>
              <c:strCache>
                <c:ptCount val="5"/>
                <c:pt idx="0">
                  <c:v>Accessories</c:v>
                </c:pt>
                <c:pt idx="1">
                  <c:v>Gaming</c:v>
                </c:pt>
                <c:pt idx="2">
                  <c:v>Laptops</c:v>
                </c:pt>
                <c:pt idx="3">
                  <c:v>Monitors</c:v>
                </c:pt>
                <c:pt idx="4">
                  <c:v>Smartphones</c:v>
                </c:pt>
              </c:strCache>
            </c:strRef>
          </c:cat>
          <c:val>
            <c:numRef>
              <c:f>category_pivot_practice!$B$4:$B$9</c:f>
              <c:numCache>
                <c:formatCode>General</c:formatCode>
                <c:ptCount val="5"/>
                <c:pt idx="0">
                  <c:v>220</c:v>
                </c:pt>
                <c:pt idx="1">
                  <c:v>1080</c:v>
                </c:pt>
                <c:pt idx="2">
                  <c:v>2300</c:v>
                </c:pt>
                <c:pt idx="3">
                  <c:v>560</c:v>
                </c:pt>
                <c:pt idx="4">
                  <c:v>1949</c:v>
                </c:pt>
              </c:numCache>
            </c:numRef>
          </c:val>
          <c:extLst>
            <c:ext xmlns:c16="http://schemas.microsoft.com/office/drawing/2014/chart" uri="{C3380CC4-5D6E-409C-BE32-E72D297353CC}">
              <c16:uniqueId val="{0000000A-DE2A-42AE-AB07-C27AB569F5C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15-19.xlsx]payments_pivot_practice!PivotTable8</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payments_pivot_practice!$B$3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payments_pivot_practice!$A$4:$A$7</c:f>
              <c:strCache>
                <c:ptCount val="3"/>
                <c:pt idx="0">
                  <c:v>Card</c:v>
                </c:pt>
                <c:pt idx="1">
                  <c:v>Cash</c:v>
                </c:pt>
                <c:pt idx="2">
                  <c:v>Transfer</c:v>
                </c:pt>
              </c:strCache>
            </c:strRef>
          </c:cat>
          <c:val>
            <c:numRef>
              <c:f>payments_pivot_practice!$B$4:$B$7</c:f>
              <c:numCache>
                <c:formatCode>General</c:formatCode>
                <c:ptCount val="3"/>
                <c:pt idx="0">
                  <c:v>18</c:v>
                </c:pt>
                <c:pt idx="1">
                  <c:v>8</c:v>
                </c:pt>
                <c:pt idx="2">
                  <c:v>11</c:v>
                </c:pt>
              </c:numCache>
            </c:numRef>
          </c:val>
          <c:extLst>
            <c:ext xmlns:c16="http://schemas.microsoft.com/office/drawing/2014/chart" uri="{C3380CC4-5D6E-409C-BE32-E72D297353CC}">
              <c16:uniqueId val="{00000002-A0C9-4B1A-BC17-2E3F43F02405}"/>
            </c:ext>
          </c:extLst>
        </c:ser>
        <c:dLbls>
          <c:dLblPos val="outEnd"/>
          <c:showLegendKey val="0"/>
          <c:showVal val="1"/>
          <c:showCatName val="0"/>
          <c:showSerName val="0"/>
          <c:showPercent val="0"/>
          <c:showBubbleSize val="0"/>
        </c:dLbls>
        <c:gapWidth val="100"/>
        <c:overlap val="-24"/>
        <c:axId val="798611359"/>
        <c:axId val="870275823"/>
      </c:barChart>
      <c:catAx>
        <c:axId val="7986113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70275823"/>
        <c:crosses val="autoZero"/>
        <c:auto val="1"/>
        <c:lblAlgn val="ctr"/>
        <c:lblOffset val="100"/>
        <c:noMultiLvlLbl val="0"/>
      </c:catAx>
      <c:valAx>
        <c:axId val="870275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9861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[day 15-19.xlsx]payments_pivot_practice!PivotTable2</c:name>
    <c:fmtId val="19"/>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tint val="77000"/>
            </a:schemeClr>
          </a:solidFill>
          <a:ln>
            <a:noFill/>
          </a:ln>
          <a:effectLst>
            <a:outerShdw blurRad="317500" algn="ctr" rotWithShape="0">
              <a:prstClr val="black">
                <a:alpha val="25000"/>
              </a:prstClr>
            </a:outerShdw>
          </a:effectLst>
        </c:spPr>
      </c:pivotFmt>
      <c:pivotFmt>
        <c:idx val="3"/>
        <c:spPr>
          <a:solidFill>
            <a:schemeClr val="accent1">
              <a:shade val="76000"/>
            </a:schemeClr>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tint val="77000"/>
            </a:schemeClr>
          </a:solidFill>
          <a:ln>
            <a:noFill/>
          </a:ln>
          <a:effectLst>
            <a:outerShdw blurRad="317500" algn="ctr" rotWithShape="0">
              <a:prstClr val="black">
                <a:alpha val="25000"/>
              </a:prstClr>
            </a:outerShdw>
          </a:effectLst>
        </c:spPr>
      </c:pivotFmt>
      <c:pivotFmt>
        <c:idx val="6"/>
        <c:spPr>
          <a:solidFill>
            <a:schemeClr val="accent1">
              <a:shade val="76000"/>
            </a:schemeClr>
          </a:solidFill>
          <a:ln>
            <a:noFill/>
          </a:ln>
          <a:effectLst>
            <a:outerShdw blurRad="317500" algn="ctr" rotWithShape="0">
              <a:prstClr val="black">
                <a:alpha val="25000"/>
              </a:prstClr>
            </a:outerShdw>
          </a:effectLst>
        </c:spPr>
      </c:pivotFmt>
    </c:pivotFmts>
    <c:plotArea>
      <c:layout/>
      <c:pieChart>
        <c:varyColors val="1"/>
        <c:ser>
          <c:idx val="0"/>
          <c:order val="0"/>
          <c:tx>
            <c:strRef>
              <c:f>payments_pivot_practice!$B$21</c:f>
              <c:strCache>
                <c:ptCount val="1"/>
                <c:pt idx="0">
                  <c:v>Total</c:v>
                </c:pt>
              </c:strCache>
            </c:strRef>
          </c:tx>
          <c:dPt>
            <c:idx val="0"/>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9F8-48B1-BAFD-C80C1504C19E}"/>
              </c:ext>
            </c:extLst>
          </c:dPt>
          <c:dPt>
            <c:idx val="1"/>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9F8-48B1-BAFD-C80C1504C19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payments_pivot_practice!$A$22:$A$24</c:f>
              <c:strCache>
                <c:ptCount val="2"/>
                <c:pt idx="0">
                  <c:v>Cancelled</c:v>
                </c:pt>
                <c:pt idx="1">
                  <c:v>Paid</c:v>
                </c:pt>
              </c:strCache>
            </c:strRef>
          </c:cat>
          <c:val>
            <c:numRef>
              <c:f>payments_pivot_practice!$B$22:$B$24</c:f>
              <c:numCache>
                <c:formatCode>General</c:formatCode>
                <c:ptCount val="2"/>
                <c:pt idx="0">
                  <c:v>1</c:v>
                </c:pt>
                <c:pt idx="1">
                  <c:v>8</c:v>
                </c:pt>
              </c:numCache>
            </c:numRef>
          </c:val>
          <c:extLst>
            <c:ext xmlns:c16="http://schemas.microsoft.com/office/drawing/2014/chart" uri="{C3380CC4-5D6E-409C-BE32-E72D297353CC}">
              <c16:uniqueId val="{00000004-09F8-48B1-BAFD-C80C1504C19E}"/>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15-19.xlsx]Product_pivot_practice!PivotTable6</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ru-R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Product_pivot_practice!$B$3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Product_pivot_practice!$A$4:$A$13</c:f>
              <c:strCache>
                <c:ptCount val="9"/>
                <c:pt idx="0">
                  <c:v>Wireless Mouse</c:v>
                </c:pt>
                <c:pt idx="1">
                  <c:v>Mechanical Keyboard</c:v>
                </c:pt>
                <c:pt idx="2">
                  <c:v>Xbox Series X</c:v>
                </c:pt>
                <c:pt idx="3">
                  <c:v>PlayStation 5</c:v>
                </c:pt>
                <c:pt idx="4">
                  <c:v>Dell 27 Monitor</c:v>
                </c:pt>
                <c:pt idx="5">
                  <c:v>Samsung S24</c:v>
                </c:pt>
                <c:pt idx="6">
                  <c:v>iPhone 15</c:v>
                </c:pt>
                <c:pt idx="7">
                  <c:v>ThinkPad T14</c:v>
                </c:pt>
                <c:pt idx="8">
                  <c:v>MacBook Air M3</c:v>
                </c:pt>
              </c:strCache>
            </c:strRef>
          </c:cat>
          <c:val>
            <c:numRef>
              <c:f>Product_pivot_practice!$B$4:$B$13</c:f>
              <c:numCache>
                <c:formatCode>General</c:formatCode>
                <c:ptCount val="9"/>
                <c:pt idx="0">
                  <c:v>100</c:v>
                </c:pt>
                <c:pt idx="1">
                  <c:v>120</c:v>
                </c:pt>
                <c:pt idx="2">
                  <c:v>530</c:v>
                </c:pt>
                <c:pt idx="3">
                  <c:v>550</c:v>
                </c:pt>
                <c:pt idx="4">
                  <c:v>560</c:v>
                </c:pt>
                <c:pt idx="5">
                  <c:v>950</c:v>
                </c:pt>
                <c:pt idx="6">
                  <c:v>999</c:v>
                </c:pt>
                <c:pt idx="7">
                  <c:v>1100</c:v>
                </c:pt>
                <c:pt idx="8">
                  <c:v>1200</c:v>
                </c:pt>
              </c:numCache>
            </c:numRef>
          </c:val>
          <c:extLst>
            <c:ext xmlns:c16="http://schemas.microsoft.com/office/drawing/2014/chart" uri="{C3380CC4-5D6E-409C-BE32-E72D297353CC}">
              <c16:uniqueId val="{00000000-C7A3-410D-B09B-5E005E4D9EC3}"/>
            </c:ext>
          </c:extLst>
        </c:ser>
        <c:dLbls>
          <c:showLegendKey val="0"/>
          <c:showVal val="0"/>
          <c:showCatName val="0"/>
          <c:showSerName val="0"/>
          <c:showPercent val="0"/>
          <c:showBubbleSize val="0"/>
        </c:dLbls>
        <c:gapWidth val="150"/>
        <c:overlap val="100"/>
        <c:axId val="947154831"/>
        <c:axId val="870247023"/>
      </c:barChart>
      <c:catAx>
        <c:axId val="94715483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ProDUCT NAME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70247023"/>
        <c:crosses val="autoZero"/>
        <c:auto val="1"/>
        <c:lblAlgn val="ctr"/>
        <c:lblOffset val="100"/>
        <c:noMultiLvlLbl val="0"/>
      </c:catAx>
      <c:valAx>
        <c:axId val="8702470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4715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15-19.xlsx]category_pivot_practice!PivotTable7</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Category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category_pivot_practice!$B$3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587-41A3-B398-6CD8ED8B3EF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587-41A3-B398-6CD8ED8B3EF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587-41A3-B398-6CD8ED8B3EF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587-41A3-B398-6CD8ED8B3EF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587-41A3-B398-6CD8ED8B3EF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category_pivot_practice!$A$4:$A$9</c:f>
              <c:strCache>
                <c:ptCount val="5"/>
                <c:pt idx="0">
                  <c:v>Accessories</c:v>
                </c:pt>
                <c:pt idx="1">
                  <c:v>Gaming</c:v>
                </c:pt>
                <c:pt idx="2">
                  <c:v>Laptops</c:v>
                </c:pt>
                <c:pt idx="3">
                  <c:v>Monitors</c:v>
                </c:pt>
                <c:pt idx="4">
                  <c:v>Smartphones</c:v>
                </c:pt>
              </c:strCache>
            </c:strRef>
          </c:cat>
          <c:val>
            <c:numRef>
              <c:f>category_pivot_practice!$B$4:$B$9</c:f>
              <c:numCache>
                <c:formatCode>General</c:formatCode>
                <c:ptCount val="5"/>
                <c:pt idx="0">
                  <c:v>220</c:v>
                </c:pt>
                <c:pt idx="1">
                  <c:v>1080</c:v>
                </c:pt>
                <c:pt idx="2">
                  <c:v>2300</c:v>
                </c:pt>
                <c:pt idx="3">
                  <c:v>560</c:v>
                </c:pt>
                <c:pt idx="4">
                  <c:v>1949</c:v>
                </c:pt>
              </c:numCache>
            </c:numRef>
          </c:val>
          <c:extLst>
            <c:ext xmlns:c16="http://schemas.microsoft.com/office/drawing/2014/chart" uri="{C3380CC4-5D6E-409C-BE32-E72D297353CC}">
              <c16:uniqueId val="{00000000-3380-4A3D-90D5-5045236A644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15-19.xlsx]payments_pivot_practice!PivotTable8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payments_pivot_practice!$B$3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payments_pivot_practice!$A$4:$A$7</c:f>
              <c:strCache>
                <c:ptCount val="3"/>
                <c:pt idx="0">
                  <c:v>Card</c:v>
                </c:pt>
                <c:pt idx="1">
                  <c:v>Cash</c:v>
                </c:pt>
                <c:pt idx="2">
                  <c:v>Transfer</c:v>
                </c:pt>
              </c:strCache>
            </c:strRef>
          </c:cat>
          <c:val>
            <c:numRef>
              <c:f>payments_pivot_practice!$B$4:$B$7</c:f>
              <c:numCache>
                <c:formatCode>General</c:formatCode>
                <c:ptCount val="3"/>
                <c:pt idx="0">
                  <c:v>18</c:v>
                </c:pt>
                <c:pt idx="1">
                  <c:v>8</c:v>
                </c:pt>
                <c:pt idx="2">
                  <c:v>11</c:v>
                </c:pt>
              </c:numCache>
            </c:numRef>
          </c:val>
          <c:extLst>
            <c:ext xmlns:c16="http://schemas.microsoft.com/office/drawing/2014/chart" uri="{C3380CC4-5D6E-409C-BE32-E72D297353CC}">
              <c16:uniqueId val="{00000003-4F7A-4633-AD92-B2DC23B6D91E}"/>
            </c:ext>
          </c:extLst>
        </c:ser>
        <c:dLbls>
          <c:dLblPos val="outEnd"/>
          <c:showLegendKey val="0"/>
          <c:showVal val="1"/>
          <c:showCatName val="0"/>
          <c:showSerName val="0"/>
          <c:showPercent val="0"/>
          <c:showBubbleSize val="0"/>
        </c:dLbls>
        <c:gapWidth val="100"/>
        <c:overlap val="-24"/>
        <c:axId val="798611359"/>
        <c:axId val="870275823"/>
      </c:barChart>
      <c:catAx>
        <c:axId val="798611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ru-RU"/>
          </a:p>
        </c:txPr>
        <c:crossAx val="870275823"/>
        <c:crosses val="autoZero"/>
        <c:auto val="1"/>
        <c:lblAlgn val="ctr"/>
        <c:lblOffset val="100"/>
        <c:noMultiLvlLbl val="0"/>
      </c:catAx>
      <c:valAx>
        <c:axId val="8702758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ru-RU"/>
          </a:p>
        </c:txPr>
        <c:crossAx val="79861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[day 15-19.xlsx]payments_pivot_practice!PivotTable2</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Payment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tint val="77000"/>
            </a:schemeClr>
          </a:solidFill>
          <a:ln>
            <a:noFill/>
          </a:ln>
          <a:effectLst>
            <a:outerShdw blurRad="317500" algn="ctr" rotWithShape="0">
              <a:prstClr val="black">
                <a:alpha val="25000"/>
              </a:prstClr>
            </a:outerShdw>
          </a:effectLst>
        </c:spPr>
      </c:pivotFmt>
      <c:pivotFmt>
        <c:idx val="2"/>
        <c:spPr>
          <a:solidFill>
            <a:schemeClr val="accent1">
              <a:tint val="77000"/>
            </a:schemeClr>
          </a:solidFill>
          <a:ln>
            <a:noFill/>
          </a:ln>
          <a:effectLst>
            <a:outerShdw blurRad="317500" algn="ctr" rotWithShape="0">
              <a:prstClr val="black">
                <a:alpha val="25000"/>
              </a:prstClr>
            </a:outerShdw>
          </a:effectLst>
        </c:spPr>
      </c:pivotFmt>
    </c:pivotFmts>
    <c:plotArea>
      <c:layout/>
      <c:pieChart>
        <c:varyColors val="1"/>
        <c:ser>
          <c:idx val="0"/>
          <c:order val="0"/>
          <c:tx>
            <c:strRef>
              <c:f>payments_pivot_practice!$B$21</c:f>
              <c:strCache>
                <c:ptCount val="1"/>
                <c:pt idx="0">
                  <c:v>Total</c:v>
                </c:pt>
              </c:strCache>
            </c:strRef>
          </c:tx>
          <c:dPt>
            <c:idx val="0"/>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E0B-4266-9C4F-375547E8E150}"/>
              </c:ext>
            </c:extLst>
          </c:dPt>
          <c:dPt>
            <c:idx val="1"/>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E0B-4266-9C4F-375547E8E15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ru-RU"/>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payments_pivot_practice!$A$22:$A$24</c:f>
              <c:strCache>
                <c:ptCount val="2"/>
                <c:pt idx="0">
                  <c:v>Cancelled</c:v>
                </c:pt>
                <c:pt idx="1">
                  <c:v>Paid</c:v>
                </c:pt>
              </c:strCache>
            </c:strRef>
          </c:cat>
          <c:val>
            <c:numRef>
              <c:f>payments_pivot_practice!$B$22:$B$24</c:f>
              <c:numCache>
                <c:formatCode>General</c:formatCode>
                <c:ptCount val="2"/>
                <c:pt idx="0">
                  <c:v>1</c:v>
                </c:pt>
                <c:pt idx="1">
                  <c:v>8</c:v>
                </c:pt>
              </c:numCache>
            </c:numRef>
          </c:val>
          <c:extLst>
            <c:ext xmlns:c16="http://schemas.microsoft.com/office/drawing/2014/chart" uri="{C3380CC4-5D6E-409C-BE32-E72D297353CC}">
              <c16:uniqueId val="{00000000-4368-446F-8CA1-BB72F95834FC}"/>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590550</xdr:colOff>
      <xdr:row>1</xdr:row>
      <xdr:rowOff>123824</xdr:rowOff>
    </xdr:from>
    <xdr:to>
      <xdr:col>15</xdr:col>
      <xdr:colOff>295276</xdr:colOff>
      <xdr:row>14</xdr:row>
      <xdr:rowOff>28575</xdr:rowOff>
    </xdr:to>
    <xdr:graphicFrame macro="">
      <xdr:nvGraphicFramePr>
        <xdr:cNvPr id="6" name="Chart 5">
          <a:extLst>
            <a:ext uri="{FF2B5EF4-FFF2-40B4-BE49-F238E27FC236}">
              <a16:creationId xmlns:a16="http://schemas.microsoft.com/office/drawing/2014/main" id="{63E59DF3-798F-436D-8833-8EC963485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180975</xdr:rowOff>
    </xdr:from>
    <xdr:to>
      <xdr:col>6</xdr:col>
      <xdr:colOff>9525</xdr:colOff>
      <xdr:row>28</xdr:row>
      <xdr:rowOff>0</xdr:rowOff>
    </xdr:to>
    <xdr:graphicFrame macro="">
      <xdr:nvGraphicFramePr>
        <xdr:cNvPr id="2" name="Chart 1">
          <a:extLst>
            <a:ext uri="{FF2B5EF4-FFF2-40B4-BE49-F238E27FC236}">
              <a16:creationId xmlns:a16="http://schemas.microsoft.com/office/drawing/2014/main" id="{58729E01-D46E-4D79-93DB-00CDBD2F6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xdr:col>
      <xdr:colOff>9525</xdr:colOff>
      <xdr:row>14</xdr:row>
      <xdr:rowOff>0</xdr:rowOff>
    </xdr:to>
    <xdr:graphicFrame macro="">
      <xdr:nvGraphicFramePr>
        <xdr:cNvPr id="3" name="Chart 2">
          <a:extLst>
            <a:ext uri="{FF2B5EF4-FFF2-40B4-BE49-F238E27FC236}">
              <a16:creationId xmlns:a16="http://schemas.microsoft.com/office/drawing/2014/main" id="{02BE4C39-C798-4164-A08C-CC65629B7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9525</xdr:colOff>
      <xdr:row>13</xdr:row>
      <xdr:rowOff>171450</xdr:rowOff>
    </xdr:from>
    <xdr:to>
      <xdr:col>20</xdr:col>
      <xdr:colOff>95249</xdr:colOff>
      <xdr:row>27</xdr:row>
      <xdr:rowOff>180975</xdr:rowOff>
    </xdr:to>
    <xdr:graphicFrame macro="">
      <xdr:nvGraphicFramePr>
        <xdr:cNvPr id="4" name="Chart 3">
          <a:extLst>
            <a:ext uri="{FF2B5EF4-FFF2-40B4-BE49-F238E27FC236}">
              <a16:creationId xmlns:a16="http://schemas.microsoft.com/office/drawing/2014/main" id="{168C9A29-592B-40E8-9571-771AEB384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9526</xdr:colOff>
      <xdr:row>0</xdr:row>
      <xdr:rowOff>0</xdr:rowOff>
    </xdr:from>
    <xdr:to>
      <xdr:col>20</xdr:col>
      <xdr:colOff>104776</xdr:colOff>
      <xdr:row>14</xdr:row>
      <xdr:rowOff>0</xdr:rowOff>
    </xdr:to>
    <xdr:graphicFrame macro="">
      <xdr:nvGraphicFramePr>
        <xdr:cNvPr id="5" name="Chart 4">
          <a:extLst>
            <a:ext uri="{FF2B5EF4-FFF2-40B4-BE49-F238E27FC236}">
              <a16:creationId xmlns:a16="http://schemas.microsoft.com/office/drawing/2014/main" id="{85AFC9F8-362D-4987-9FE6-C6CBB4916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19050</xdr:colOff>
      <xdr:row>11</xdr:row>
      <xdr:rowOff>180975</xdr:rowOff>
    </xdr:from>
    <xdr:to>
      <xdr:col>13</xdr:col>
      <xdr:colOff>19050</xdr:colOff>
      <xdr:row>27</xdr:row>
      <xdr:rowOff>180975</xdr:rowOff>
    </xdr:to>
    <xdr:graphicFrame macro="">
      <xdr:nvGraphicFramePr>
        <xdr:cNvPr id="6" name="Chart 5">
          <a:extLst>
            <a:ext uri="{FF2B5EF4-FFF2-40B4-BE49-F238E27FC236}">
              <a16:creationId xmlns:a16="http://schemas.microsoft.com/office/drawing/2014/main" id="{E5A25E92-2978-4AC1-9BDB-1CE81A16E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7</xdr:col>
      <xdr:colOff>76200</xdr:colOff>
      <xdr:row>0</xdr:row>
      <xdr:rowOff>0</xdr:rowOff>
    </xdr:from>
    <xdr:ext cx="2790825" cy="468013"/>
    <xdr:sp macro="" textlink="">
      <xdr:nvSpPr>
        <xdr:cNvPr id="7" name="TextBox 6">
          <a:extLst>
            <a:ext uri="{FF2B5EF4-FFF2-40B4-BE49-F238E27FC236}">
              <a16:creationId xmlns:a16="http://schemas.microsoft.com/office/drawing/2014/main" id="{5DDCE7F6-0682-1A59-9E48-F428B4EF8818}"/>
            </a:ext>
          </a:extLst>
        </xdr:cNvPr>
        <xdr:cNvSpPr txBox="1"/>
      </xdr:nvSpPr>
      <xdr:spPr>
        <a:xfrm>
          <a:off x="5038725" y="0"/>
          <a:ext cx="279082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b="1"/>
            <a:t>SALES</a:t>
          </a:r>
          <a:r>
            <a:rPr lang="en-US" sz="1100" b="1" baseline="0"/>
            <a:t>    </a:t>
          </a:r>
          <a:r>
            <a:rPr lang="en-US" sz="2400" b="1" baseline="0"/>
            <a:t>DASHBOARD</a:t>
          </a:r>
        </a:p>
      </xdr:txBody>
    </xdr:sp>
    <xdr:clientData/>
  </xdr:oneCellAnchor>
  <xdr:twoCellAnchor editAs="oneCell">
    <xdr:from>
      <xdr:col>20</xdr:col>
      <xdr:colOff>104775</xdr:colOff>
      <xdr:row>6</xdr:row>
      <xdr:rowOff>180974</xdr:rowOff>
    </xdr:from>
    <xdr:to>
      <xdr:col>22</xdr:col>
      <xdr:colOff>409575</xdr:colOff>
      <xdr:row>15</xdr:row>
      <xdr:rowOff>114299</xdr:rowOff>
    </xdr:to>
    <mc:AlternateContent xmlns:mc="http://schemas.openxmlformats.org/markup-compatibility/2006" xmlns:a14="http://schemas.microsoft.com/office/drawing/2010/main">
      <mc:Choice Requires="a14">
        <xdr:graphicFrame macro="">
          <xdr:nvGraphicFramePr>
            <xdr:cNvPr id="8" name="category_name 1">
              <a:extLst>
                <a:ext uri="{FF2B5EF4-FFF2-40B4-BE49-F238E27FC236}">
                  <a16:creationId xmlns:a16="http://schemas.microsoft.com/office/drawing/2014/main" id="{6A324BD0-8061-42D8-9DFF-1BFB5A4C87A4}"/>
                </a:ext>
              </a:extLst>
            </xdr:cNvPr>
            <xdr:cNvGraphicFramePr/>
          </xdr:nvGraphicFramePr>
          <xdr:xfrm>
            <a:off x="0" y="0"/>
            <a:ext cx="0" cy="0"/>
          </xdr:xfrm>
          <a:graphic>
            <a:graphicData uri="http://schemas.microsoft.com/office/drawing/2010/slicer">
              <sle:slicer xmlns:sle="http://schemas.microsoft.com/office/drawing/2010/slicer" name="category_name 1"/>
            </a:graphicData>
          </a:graphic>
        </xdr:graphicFrame>
      </mc:Choice>
      <mc:Fallback xmlns="">
        <xdr:sp macro="" textlink="">
          <xdr:nvSpPr>
            <xdr:cNvPr id="0" name=""/>
            <xdr:cNvSpPr>
              <a:spLocks noTextEdit="1"/>
            </xdr:cNvSpPr>
          </xdr:nvSpPr>
          <xdr:spPr>
            <a:xfrm>
              <a:off x="12992100" y="1323974"/>
              <a:ext cx="1524000" cy="164782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114300</xdr:colOff>
      <xdr:row>0</xdr:row>
      <xdr:rowOff>9525</xdr:rowOff>
    </xdr:from>
    <xdr:to>
      <xdr:col>22</xdr:col>
      <xdr:colOff>400050</xdr:colOff>
      <xdr:row>7</xdr:row>
      <xdr:rowOff>0</xdr:rowOff>
    </xdr:to>
    <mc:AlternateContent xmlns:mc="http://schemas.openxmlformats.org/markup-compatibility/2006" xmlns:a14="http://schemas.microsoft.com/office/drawing/2010/main">
      <mc:Choice Requires="a14">
        <xdr:graphicFrame macro="">
          <xdr:nvGraphicFramePr>
            <xdr:cNvPr id="9" name="payment_method 1">
              <a:extLst>
                <a:ext uri="{FF2B5EF4-FFF2-40B4-BE49-F238E27FC236}">
                  <a16:creationId xmlns:a16="http://schemas.microsoft.com/office/drawing/2014/main" id="{2595FCB7-5C74-401F-8F0C-B4E8EAF18DBB}"/>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3001625" y="9525"/>
              <a:ext cx="1504950" cy="132397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95250</xdr:colOff>
      <xdr:row>15</xdr:row>
      <xdr:rowOff>114299</xdr:rowOff>
    </xdr:from>
    <xdr:to>
      <xdr:col>24</xdr:col>
      <xdr:colOff>209550</xdr:colOff>
      <xdr:row>23</xdr:row>
      <xdr:rowOff>28574</xdr:rowOff>
    </xdr:to>
    <mc:AlternateContent xmlns:mc="http://schemas.openxmlformats.org/markup-compatibility/2006" xmlns:tsle="http://schemas.microsoft.com/office/drawing/2012/timeslicer">
      <mc:Choice Requires="tsle">
        <xdr:graphicFrame macro="">
          <xdr:nvGraphicFramePr>
            <xdr:cNvPr id="10" name="order_date">
              <a:extLst>
                <a:ext uri="{FF2B5EF4-FFF2-40B4-BE49-F238E27FC236}">
                  <a16:creationId xmlns:a16="http://schemas.microsoft.com/office/drawing/2014/main" id="{73CA81F2-4BCB-4D01-B377-2A0AC174575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982575" y="2971799"/>
              <a:ext cx="2552700" cy="1438275"/>
            </a:xfrm>
            <a:prstGeom prst="rect">
              <a:avLst/>
            </a:prstGeom>
            <a:solidFill>
              <a:prstClr val="white"/>
            </a:solidFill>
            <a:ln w="1">
              <a:solidFill>
                <a:prstClr val="green"/>
              </a:solidFill>
            </a:ln>
          </xdr:spPr>
          <xdr:txBody>
            <a:bodyPr vertOverflow="clip" horzOverflow="clip"/>
            <a:lstStyle/>
            <a:p>
              <a:r>
                <a:rPr lang="ru-RU"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438150</xdr:colOff>
      <xdr:row>0</xdr:row>
      <xdr:rowOff>38100</xdr:rowOff>
    </xdr:from>
    <xdr:to>
      <xdr:col>7</xdr:col>
      <xdr:colOff>752475</xdr:colOff>
      <xdr:row>14</xdr:row>
      <xdr:rowOff>38100</xdr:rowOff>
    </xdr:to>
    <xdr:graphicFrame macro="">
      <xdr:nvGraphicFramePr>
        <xdr:cNvPr id="3" name="Chart 2">
          <a:extLst>
            <a:ext uri="{FF2B5EF4-FFF2-40B4-BE49-F238E27FC236}">
              <a16:creationId xmlns:a16="http://schemas.microsoft.com/office/drawing/2014/main" id="{9FB5BDC2-A9DD-43A8-BF36-73F46628F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828675</xdr:colOff>
      <xdr:row>0</xdr:row>
      <xdr:rowOff>47625</xdr:rowOff>
    </xdr:from>
    <xdr:to>
      <xdr:col>9</xdr:col>
      <xdr:colOff>781050</xdr:colOff>
      <xdr:row>14</xdr:row>
      <xdr:rowOff>47625</xdr:rowOff>
    </xdr:to>
    <mc:AlternateContent xmlns:mc="http://schemas.openxmlformats.org/markup-compatibility/2006" xmlns:a14="http://schemas.microsoft.com/office/drawing/2010/main">
      <mc:Choice Requires="a14">
        <xdr:graphicFrame macro="">
          <xdr:nvGraphicFramePr>
            <xdr:cNvPr id="5" name="category_name">
              <a:extLst>
                <a:ext uri="{FF2B5EF4-FFF2-40B4-BE49-F238E27FC236}">
                  <a16:creationId xmlns:a16="http://schemas.microsoft.com/office/drawing/2014/main" id="{11619449-E203-5D40-B701-94C6DDA92AE8}"/>
                </a:ext>
              </a:extLst>
            </xdr:cNvPr>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mlns="">
        <xdr:sp macro="" textlink="">
          <xdr:nvSpPr>
            <xdr:cNvPr id="0" name=""/>
            <xdr:cNvSpPr>
              <a:spLocks noTextEdit="1"/>
            </xdr:cNvSpPr>
          </xdr:nvSpPr>
          <xdr:spPr>
            <a:xfrm>
              <a:off x="7886700" y="47625"/>
              <a:ext cx="1828800" cy="26670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371475</xdr:colOff>
      <xdr:row>0</xdr:row>
      <xdr:rowOff>14286</xdr:rowOff>
    </xdr:from>
    <xdr:to>
      <xdr:col>12</xdr:col>
      <xdr:colOff>66675</xdr:colOff>
      <xdr:row>14</xdr:row>
      <xdr:rowOff>171450</xdr:rowOff>
    </xdr:to>
    <xdr:graphicFrame macro="">
      <xdr:nvGraphicFramePr>
        <xdr:cNvPr id="2" name="Chart 1">
          <a:extLst>
            <a:ext uri="{FF2B5EF4-FFF2-40B4-BE49-F238E27FC236}">
              <a16:creationId xmlns:a16="http://schemas.microsoft.com/office/drawing/2014/main" id="{D7D70229-4E7B-7B93-0AED-EC4E79CBB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xdr:colOff>
      <xdr:row>0</xdr:row>
      <xdr:rowOff>1</xdr:rowOff>
    </xdr:from>
    <xdr:to>
      <xdr:col>10</xdr:col>
      <xdr:colOff>0</xdr:colOff>
      <xdr:row>14</xdr:row>
      <xdr:rowOff>9525</xdr:rowOff>
    </xdr:to>
    <xdr:graphicFrame macro="">
      <xdr:nvGraphicFramePr>
        <xdr:cNvPr id="2" name="Chart 1">
          <a:extLst>
            <a:ext uri="{FF2B5EF4-FFF2-40B4-BE49-F238E27FC236}">
              <a16:creationId xmlns:a16="http://schemas.microsoft.com/office/drawing/2014/main" id="{9A2F490A-6C46-1C05-E14B-B05E8FD68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18</xdr:row>
      <xdr:rowOff>4761</xdr:rowOff>
    </xdr:from>
    <xdr:to>
      <xdr:col>10</xdr:col>
      <xdr:colOff>9525</xdr:colOff>
      <xdr:row>33</xdr:row>
      <xdr:rowOff>180974</xdr:rowOff>
    </xdr:to>
    <xdr:graphicFrame macro="">
      <xdr:nvGraphicFramePr>
        <xdr:cNvPr id="4" name="Chart 3">
          <a:extLst>
            <a:ext uri="{FF2B5EF4-FFF2-40B4-BE49-F238E27FC236}">
              <a16:creationId xmlns:a16="http://schemas.microsoft.com/office/drawing/2014/main" id="{695E4DB2-193A-B204-E0BE-B9385C69E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276225</xdr:colOff>
      <xdr:row>10</xdr:row>
      <xdr:rowOff>114300</xdr:rowOff>
    </xdr:from>
    <xdr:to>
      <xdr:col>14</xdr:col>
      <xdr:colOff>276225</xdr:colOff>
      <xdr:row>17</xdr:row>
      <xdr:rowOff>104775</xdr:rowOff>
    </xdr:to>
    <mc:AlternateContent xmlns:mc="http://schemas.openxmlformats.org/markup-compatibility/2006" xmlns:a14="http://schemas.microsoft.com/office/drawing/2010/main">
      <mc:Choice Requires="a14">
        <xdr:graphicFrame macro="">
          <xdr:nvGraphicFramePr>
            <xdr:cNvPr id="5" name="payment_method">
              <a:extLst>
                <a:ext uri="{FF2B5EF4-FFF2-40B4-BE49-F238E27FC236}">
                  <a16:creationId xmlns:a16="http://schemas.microsoft.com/office/drawing/2014/main" id="{CA7872FD-BFE3-CC3B-B760-18DBBE21C8C8}"/>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8715375" y="2019300"/>
              <a:ext cx="1828800" cy="132397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1.903528935189" createdVersion="8" refreshedVersion="8" minRefreshableVersion="3" recordCount="9" xr:uid="{3C5E26D2-31ED-4BA7-ABEF-99A338E9FEDD}">
  <cacheSource type="worksheet">
    <worksheetSource name="tbl_order_items"/>
  </cacheSource>
  <cacheFields count="15">
    <cacheField name="order_item_id" numFmtId="0">
      <sharedItems containsSemiMixedTypes="0" containsString="0" containsNumber="1" containsInteger="1" minValue="1" maxValue="9"/>
    </cacheField>
    <cacheField name="order_id" numFmtId="0">
      <sharedItems containsSemiMixedTypes="0" containsString="0" containsNumber="1" containsInteger="1" minValue="1" maxValue="8"/>
    </cacheField>
    <cacheField name="product_id" numFmtId="0">
      <sharedItems containsSemiMixedTypes="0" containsString="0" containsNumber="1" containsInteger="1" minValue="1" maxValue="10"/>
    </cacheField>
    <cacheField name="quantity" numFmtId="0">
      <sharedItems containsSemiMixedTypes="0" containsString="0" containsNumber="1" containsInteger="1" minValue="1" maxValue="2"/>
    </cacheField>
    <cacheField name="unit_price" numFmtId="0">
      <sharedItems containsSemiMixedTypes="0" containsString="0" containsNumber="1" containsInteger="1" minValue="50" maxValue="1200"/>
    </cacheField>
    <cacheField name="customer_id" numFmtId="0">
      <sharedItems containsSemiMixedTypes="0" containsString="0" containsNumber="1" containsInteger="1" minValue="1" maxValue="6" count="6">
        <n v="1"/>
        <n v="2"/>
        <n v="3"/>
        <n v="4"/>
        <n v="5"/>
        <n v="6"/>
      </sharedItems>
    </cacheField>
    <cacheField name="revenue" numFmtId="0">
      <sharedItems containsSemiMixedTypes="0" containsString="0" containsNumber="1" containsInteger="1" minValue="100" maxValue="1200"/>
    </cacheField>
    <cacheField name="product_name" numFmtId="0">
      <sharedItems count="9">
        <s v="MacBook Air M3"/>
        <s v="Mechanical Keyboard"/>
        <s v="iPhone 15"/>
        <s v="Dell 27 Monitor"/>
        <s v="Samsung S24"/>
        <s v="PlayStation 5"/>
        <s v="Wireless Mouse"/>
        <s v="ThinkPad T14"/>
        <s v="Xbox Series X"/>
      </sharedItems>
    </cacheField>
    <cacheField name="category_name" numFmtId="0">
      <sharedItems count="5">
        <s v="Laptops"/>
        <s v="Accessories"/>
        <s v="Smartphones"/>
        <s v="Monitors"/>
        <s v="Gaming"/>
      </sharedItems>
    </cacheField>
    <cacheField name="category_id" numFmtId="0">
      <sharedItems containsSemiMixedTypes="0" containsString="0" containsNumber="1" containsInteger="1" minValue="1" maxValue="5"/>
    </cacheField>
    <cacheField name="payment_status" numFmtId="0">
      <sharedItems count="2">
        <s v="Paid"/>
        <s v="Cancelled"/>
      </sharedItems>
    </cacheField>
    <cacheField name="payment_method" numFmtId="0">
      <sharedItems count="3">
        <s v="Card"/>
        <s v="Cash"/>
        <s v="Transfer"/>
      </sharedItems>
    </cacheField>
    <cacheField name="order_date" numFmtId="14">
      <sharedItems containsSemiMixedTypes="0" containsNonDate="0" containsDate="1" containsString="0" minDate="2024-01-05T00:00:00" maxDate="2024-04-30T00:00:00" count="8">
        <d v="2024-01-05T00:00:00"/>
        <d v="2024-01-17T00:00:00"/>
        <d v="2024-02-03T00:00:00"/>
        <d v="2024-02-25T00:00:00"/>
        <d v="2024-03-12T00:00:00"/>
        <d v="2024-03-28T00:00:00"/>
        <d v="2024-04-10T00:00:00"/>
        <d v="2024-04-29T00:00:00"/>
      </sharedItems>
      <fieldGroup par="14"/>
    </cacheField>
    <cacheField name="Days (order_date)" numFmtId="0" databaseField="0">
      <fieldGroup base="12">
        <rangePr groupBy="days" startDate="2024-01-05T00:00:00" endDate="2024-04-30T00:00:00"/>
        <groupItems count="368">
          <s v="&lt;05.01.2024"/>
          <s v="01.янв"/>
          <s v="02.янв"/>
          <s v="03.янв"/>
          <s v="04.янв"/>
          <s v="05.янв"/>
          <s v="06.янв"/>
          <s v="07.янв"/>
          <s v="08.янв"/>
          <s v="09.янв"/>
          <s v="10.янв"/>
          <s v="11.янв"/>
          <s v="12.янв"/>
          <s v="13.янв"/>
          <s v="14.янв"/>
          <s v="15.янв"/>
          <s v="16.янв"/>
          <s v="17.янв"/>
          <s v="18.янв"/>
          <s v="19.янв"/>
          <s v="20.янв"/>
          <s v="21.янв"/>
          <s v="22.янв"/>
          <s v="23.янв"/>
          <s v="24.янв"/>
          <s v="25.янв"/>
          <s v="26.янв"/>
          <s v="27.янв"/>
          <s v="28.янв"/>
          <s v="29.янв"/>
          <s v="30.янв"/>
          <s v="31.янв"/>
          <s v="01.фев"/>
          <s v="02.фев"/>
          <s v="03.фев"/>
          <s v="04.фев"/>
          <s v="05.фев"/>
          <s v="06.фев"/>
          <s v="07.фев"/>
          <s v="08.фев"/>
          <s v="09.фев"/>
          <s v="10.фев"/>
          <s v="11.фев"/>
          <s v="12.фев"/>
          <s v="13.фев"/>
          <s v="14.фев"/>
          <s v="15.фев"/>
          <s v="16.фев"/>
          <s v="17.фев"/>
          <s v="18.фев"/>
          <s v="19.фев"/>
          <s v="20.фев"/>
          <s v="21.фев"/>
          <s v="22.фев"/>
          <s v="23.фев"/>
          <s v="24.фев"/>
          <s v="25.фев"/>
          <s v="26.фев"/>
          <s v="27.фев"/>
          <s v="28.фев"/>
          <s v="29.фев"/>
          <s v="01.мар"/>
          <s v="02.мар"/>
          <s v="03.мар"/>
          <s v="04.мар"/>
          <s v="05.мар"/>
          <s v="06.мар"/>
          <s v="07.мар"/>
          <s v="08.мар"/>
          <s v="09.мар"/>
          <s v="10.мар"/>
          <s v="11.мар"/>
          <s v="12.мар"/>
          <s v="13.мар"/>
          <s v="14.мар"/>
          <s v="15.мар"/>
          <s v="16.мар"/>
          <s v="17.мар"/>
          <s v="18.мар"/>
          <s v="19.мар"/>
          <s v="20.мар"/>
          <s v="21.мар"/>
          <s v="22.мар"/>
          <s v="23.мар"/>
          <s v="24.мар"/>
          <s v="25.мар"/>
          <s v="26.мар"/>
          <s v="27.мар"/>
          <s v="28.мар"/>
          <s v="29.мар"/>
          <s v="30.мар"/>
          <s v="31.мар"/>
          <s v="01.апр"/>
          <s v="02.апр"/>
          <s v="03.апр"/>
          <s v="04.апр"/>
          <s v="05.апр"/>
          <s v="06.апр"/>
          <s v="07.апр"/>
          <s v="08.апр"/>
          <s v="09.апр"/>
          <s v="10.апр"/>
          <s v="11.апр"/>
          <s v="12.апр"/>
          <s v="13.апр"/>
          <s v="14.апр"/>
          <s v="15.апр"/>
          <s v="16.апр"/>
          <s v="17.апр"/>
          <s v="18.апр"/>
          <s v="19.апр"/>
          <s v="20.апр"/>
          <s v="21.апр"/>
          <s v="22.апр"/>
          <s v="23.апр"/>
          <s v="24.апр"/>
          <s v="25.апр"/>
          <s v="26.апр"/>
          <s v="27.апр"/>
          <s v="28.апр"/>
          <s v="29.апр"/>
          <s v="30.апр"/>
          <s v="01.май"/>
          <s v="02.май"/>
          <s v="03.май"/>
          <s v="04.май"/>
          <s v="05.май"/>
          <s v="06.май"/>
          <s v="07.май"/>
          <s v="08.май"/>
          <s v="09.май"/>
          <s v="10.май"/>
          <s v="11.май"/>
          <s v="12.май"/>
          <s v="13.май"/>
          <s v="14.май"/>
          <s v="15.май"/>
          <s v="16.май"/>
          <s v="17.май"/>
          <s v="18.май"/>
          <s v="19.май"/>
          <s v="20.май"/>
          <s v="21.май"/>
          <s v="22.май"/>
          <s v="23.май"/>
          <s v="24.май"/>
          <s v="25.май"/>
          <s v="26.май"/>
          <s v="27.май"/>
          <s v="28.май"/>
          <s v="29.май"/>
          <s v="30.май"/>
          <s v="31.май"/>
          <s v="01.июн"/>
          <s v="02.июн"/>
          <s v="03.июн"/>
          <s v="04.июн"/>
          <s v="05.июн"/>
          <s v="06.июн"/>
          <s v="07.июн"/>
          <s v="08.июн"/>
          <s v="09.июн"/>
          <s v="10.июн"/>
          <s v="11.июн"/>
          <s v="12.июн"/>
          <s v="13.июн"/>
          <s v="14.июн"/>
          <s v="15.июн"/>
          <s v="16.июн"/>
          <s v="17.июн"/>
          <s v="18.июн"/>
          <s v="19.июн"/>
          <s v="20.июн"/>
          <s v="21.июн"/>
          <s v="22.июн"/>
          <s v="23.июн"/>
          <s v="24.июн"/>
          <s v="25.июн"/>
          <s v="26.июн"/>
          <s v="27.июн"/>
          <s v="28.июн"/>
          <s v="29.июн"/>
          <s v="30.июн"/>
          <s v="01.июл"/>
          <s v="02.июл"/>
          <s v="03.июл"/>
          <s v="04.июл"/>
          <s v="05.июл"/>
          <s v="06.июл"/>
          <s v="07.июл"/>
          <s v="08.июл"/>
          <s v="09.июл"/>
          <s v="10.июл"/>
          <s v="11.июл"/>
          <s v="12.июл"/>
          <s v="13.июл"/>
          <s v="14.июл"/>
          <s v="15.июл"/>
          <s v="16.июл"/>
          <s v="17.июл"/>
          <s v="18.июл"/>
          <s v="19.июл"/>
          <s v="20.июл"/>
          <s v="21.июл"/>
          <s v="22.июл"/>
          <s v="23.июл"/>
          <s v="24.июл"/>
          <s v="25.июл"/>
          <s v="26.июл"/>
          <s v="27.июл"/>
          <s v="28.июл"/>
          <s v="29.июл"/>
          <s v="30.июл"/>
          <s v="31.июл"/>
          <s v="01.авг"/>
          <s v="02.авг"/>
          <s v="03.авг"/>
          <s v="04.авг"/>
          <s v="05.авг"/>
          <s v="06.авг"/>
          <s v="07.авг"/>
          <s v="08.авг"/>
          <s v="09.авг"/>
          <s v="10.авг"/>
          <s v="11.авг"/>
          <s v="12.авг"/>
          <s v="13.авг"/>
          <s v="14.авг"/>
          <s v="15.авг"/>
          <s v="16.авг"/>
          <s v="17.авг"/>
          <s v="18.авг"/>
          <s v="19.авг"/>
          <s v="20.авг"/>
          <s v="21.авг"/>
          <s v="22.авг"/>
          <s v="23.авг"/>
          <s v="24.авг"/>
          <s v="25.авг"/>
          <s v="26.авг"/>
          <s v="27.авг"/>
          <s v="28.авг"/>
          <s v="29.авг"/>
          <s v="30.авг"/>
          <s v="31.авг"/>
          <s v="01.сен"/>
          <s v="02.сен"/>
          <s v="03.сен"/>
          <s v="04.сен"/>
          <s v="05.сен"/>
          <s v="06.сен"/>
          <s v="07.сен"/>
          <s v="08.сен"/>
          <s v="09.сен"/>
          <s v="10.сен"/>
          <s v="11.сен"/>
          <s v="12.сен"/>
          <s v="13.сен"/>
          <s v="14.сен"/>
          <s v="15.сен"/>
          <s v="16.сен"/>
          <s v="17.сен"/>
          <s v="18.сен"/>
          <s v="19.сен"/>
          <s v="20.сен"/>
          <s v="21.сен"/>
          <s v="22.сен"/>
          <s v="23.сен"/>
          <s v="24.сен"/>
          <s v="25.сен"/>
          <s v="26.сен"/>
          <s v="27.сен"/>
          <s v="28.сен"/>
          <s v="29.сен"/>
          <s v="30.сен"/>
          <s v="01.окт"/>
          <s v="02.окт"/>
          <s v="03.окт"/>
          <s v="04.окт"/>
          <s v="05.окт"/>
          <s v="06.окт"/>
          <s v="07.окт"/>
          <s v="08.окт"/>
          <s v="09.окт"/>
          <s v="10.окт"/>
          <s v="11.окт"/>
          <s v="12.окт"/>
          <s v="13.окт"/>
          <s v="14.окт"/>
          <s v="15.окт"/>
          <s v="16.окт"/>
          <s v="17.окт"/>
          <s v="18.окт"/>
          <s v="19.окт"/>
          <s v="20.окт"/>
          <s v="21.окт"/>
          <s v="22.окт"/>
          <s v="23.окт"/>
          <s v="24.окт"/>
          <s v="25.окт"/>
          <s v="26.окт"/>
          <s v="27.окт"/>
          <s v="28.окт"/>
          <s v="29.окт"/>
          <s v="30.окт"/>
          <s v="31.окт"/>
          <s v="01.ноя"/>
          <s v="02.ноя"/>
          <s v="03.ноя"/>
          <s v="04.ноя"/>
          <s v="05.ноя"/>
          <s v="06.ноя"/>
          <s v="07.ноя"/>
          <s v="08.ноя"/>
          <s v="09.ноя"/>
          <s v="10.ноя"/>
          <s v="11.ноя"/>
          <s v="12.ноя"/>
          <s v="13.ноя"/>
          <s v="14.ноя"/>
          <s v="15.ноя"/>
          <s v="16.ноя"/>
          <s v="17.ноя"/>
          <s v="18.ноя"/>
          <s v="19.ноя"/>
          <s v="20.ноя"/>
          <s v="21.ноя"/>
          <s v="22.ноя"/>
          <s v="23.ноя"/>
          <s v="24.ноя"/>
          <s v="25.ноя"/>
          <s v="26.ноя"/>
          <s v="27.ноя"/>
          <s v="28.ноя"/>
          <s v="29.ноя"/>
          <s v="30.ноя"/>
          <s v="01.дек"/>
          <s v="02.дек"/>
          <s v="03.дек"/>
          <s v="04.дек"/>
          <s v="05.дек"/>
          <s v="06.дек"/>
          <s v="07.дек"/>
          <s v="08.дек"/>
          <s v="09.дек"/>
          <s v="10.дек"/>
          <s v="11.дек"/>
          <s v="12.дек"/>
          <s v="13.дек"/>
          <s v="14.дек"/>
          <s v="15.дек"/>
          <s v="16.дек"/>
          <s v="17.дек"/>
          <s v="18.дек"/>
          <s v="19.дек"/>
          <s v="20.дек"/>
          <s v="21.дек"/>
          <s v="22.дек"/>
          <s v="23.дек"/>
          <s v="24.дек"/>
          <s v="25.дек"/>
          <s v="26.дек"/>
          <s v="27.дек"/>
          <s v="28.дек"/>
          <s v="29.дек"/>
          <s v="30.дек"/>
          <s v="31.дек"/>
          <s v="&gt;30.04.2024"/>
        </groupItems>
      </fieldGroup>
    </cacheField>
    <cacheField name="Months (order_date)" numFmtId="0" databaseField="0">
      <fieldGroup base="12">
        <rangePr groupBy="months" startDate="2024-01-05T00:00:00" endDate="2024-04-30T00:00:00"/>
        <groupItems count="14">
          <s v="&lt;05.01.2024"/>
          <s v="янв"/>
          <s v="фев"/>
          <s v="мар"/>
          <s v="апр"/>
          <s v="май"/>
          <s v="июн"/>
          <s v="июл"/>
          <s v="авг"/>
          <s v="сен"/>
          <s v="окт"/>
          <s v="ноя"/>
          <s v="дек"/>
          <s v="&gt;30.04.2024"/>
        </groupItems>
      </fieldGroup>
    </cacheField>
  </cacheFields>
  <extLst>
    <ext xmlns:x14="http://schemas.microsoft.com/office/spreadsheetml/2009/9/main" uri="{725AE2AE-9491-48be-B2B4-4EB974FC3084}">
      <x14:pivotCacheDefinition pivotCacheId="21044147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
    <n v="1"/>
    <n v="1"/>
    <n v="1"/>
    <n v="1200"/>
    <x v="0"/>
    <n v="1200"/>
    <x v="0"/>
    <x v="0"/>
    <n v="1"/>
    <x v="0"/>
    <x v="0"/>
    <x v="0"/>
  </r>
  <r>
    <n v="2"/>
    <n v="1"/>
    <n v="5"/>
    <n v="1"/>
    <n v="120"/>
    <x v="0"/>
    <n v="120"/>
    <x v="1"/>
    <x v="1"/>
    <n v="3"/>
    <x v="0"/>
    <x v="0"/>
    <x v="0"/>
  </r>
  <r>
    <n v="3"/>
    <n v="2"/>
    <n v="3"/>
    <n v="1"/>
    <n v="999"/>
    <x v="1"/>
    <n v="999"/>
    <x v="2"/>
    <x v="2"/>
    <n v="2"/>
    <x v="0"/>
    <x v="1"/>
    <x v="1"/>
  </r>
  <r>
    <n v="4"/>
    <n v="3"/>
    <n v="7"/>
    <n v="2"/>
    <n v="280"/>
    <x v="2"/>
    <n v="560"/>
    <x v="3"/>
    <x v="3"/>
    <n v="4"/>
    <x v="0"/>
    <x v="0"/>
    <x v="2"/>
  </r>
  <r>
    <n v="5"/>
    <n v="4"/>
    <n v="4"/>
    <n v="1"/>
    <n v="950"/>
    <x v="3"/>
    <n v="950"/>
    <x v="4"/>
    <x v="2"/>
    <n v="2"/>
    <x v="0"/>
    <x v="2"/>
    <x v="3"/>
  </r>
  <r>
    <n v="6"/>
    <n v="5"/>
    <n v="9"/>
    <n v="1"/>
    <n v="550"/>
    <x v="4"/>
    <n v="550"/>
    <x v="5"/>
    <x v="4"/>
    <n v="5"/>
    <x v="1"/>
    <x v="0"/>
    <x v="4"/>
  </r>
  <r>
    <n v="7"/>
    <n v="6"/>
    <n v="6"/>
    <n v="2"/>
    <n v="50"/>
    <x v="0"/>
    <n v="100"/>
    <x v="6"/>
    <x v="1"/>
    <n v="3"/>
    <x v="0"/>
    <x v="1"/>
    <x v="5"/>
  </r>
  <r>
    <n v="8"/>
    <n v="7"/>
    <n v="2"/>
    <n v="1"/>
    <n v="1100"/>
    <x v="1"/>
    <n v="1100"/>
    <x v="7"/>
    <x v="0"/>
    <n v="1"/>
    <x v="0"/>
    <x v="2"/>
    <x v="6"/>
  </r>
  <r>
    <n v="9"/>
    <n v="8"/>
    <n v="10"/>
    <n v="1"/>
    <n v="530"/>
    <x v="5"/>
    <n v="530"/>
    <x v="8"/>
    <x v="4"/>
    <n v="5"/>
    <x v="0"/>
    <x v="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3BE476-A65D-46BE-8920-51E2F6F6336A}" name="PivotTable11" cacheId="24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D30:E37" firstHeaderRow="1" firstDataRow="1" firstDataCol="1"/>
  <pivotFields count="15">
    <pivotField showAll="0"/>
    <pivotField showAll="0"/>
    <pivotField showAll="0"/>
    <pivotField showAll="0"/>
    <pivotField showAll="0"/>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6">
        <item x="1"/>
        <item x="4"/>
        <item x="0"/>
        <item x="3"/>
        <item x="2"/>
        <item t="default"/>
      </items>
    </pivotField>
    <pivotField showAll="0"/>
    <pivotField showAll="0"/>
    <pivotField showAll="0">
      <items count="4">
        <item x="0"/>
        <item x="1"/>
        <item x="2"/>
        <item t="default"/>
      </items>
    </pivotField>
    <pivotField numFmtId="14" showAll="0">
      <items count="9">
        <item x="0"/>
        <item x="1"/>
        <item x="2"/>
        <item x="3"/>
        <item x="4"/>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i>
    <i>
      <x v="3"/>
    </i>
    <i>
      <x v="2"/>
    </i>
    <i>
      <x v="4"/>
    </i>
    <i>
      <x v="5"/>
    </i>
    <i t="grand">
      <x/>
    </i>
  </rowItems>
  <colItems count="1">
    <i/>
  </colItems>
  <dataFields count="1">
    <dataField name="Sum of revenue" fld="6" baseField="0" baseItem="0"/>
  </dataFields>
  <conditionalFormats count="1">
    <conditionalFormat priority="2">
      <pivotAreas count="1">
        <pivotArea type="data" collapsedLevelsAreSubtotals="1" fieldPosition="0">
          <references count="2">
            <reference field="4294967294" count="1" selected="0">
              <x v="0"/>
            </reference>
            <reference field="5" count="6">
              <x v="0"/>
              <x v="1"/>
              <x v="2"/>
              <x v="3"/>
              <x v="4"/>
              <x v="5"/>
            </reference>
          </references>
        </pivotArea>
      </pivotAreas>
    </conditionalFormat>
  </conditionalFormats>
  <chartFormats count="1">
    <chartFormat chart="1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55"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B0DE92-2C82-4603-B569-86862B1F9A31}" name="PivotTable9" cacheId="24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D18:E25" firstHeaderRow="1" firstDataRow="1" firstDataCol="1"/>
  <pivotFields count="15">
    <pivotField showAll="0"/>
    <pivotField showAll="0"/>
    <pivotField showAll="0"/>
    <pivotField dataField="1" showAll="0"/>
    <pivotField showAll="0"/>
    <pivotField axis="axisRow" showAll="0">
      <items count="7">
        <item x="0"/>
        <item x="1"/>
        <item x="2"/>
        <item x="3"/>
        <item x="4"/>
        <item x="5"/>
        <item t="default"/>
      </items>
    </pivotField>
    <pivotField showAll="0"/>
    <pivotField showAll="0"/>
    <pivotField showAll="0">
      <items count="6">
        <item x="1"/>
        <item x="4"/>
        <item x="0"/>
        <item x="3"/>
        <item x="2"/>
        <item t="default"/>
      </items>
    </pivotField>
    <pivotField showAll="0"/>
    <pivotField showAll="0"/>
    <pivotField showAll="0">
      <items count="4">
        <item x="0"/>
        <item x="1"/>
        <item x="2"/>
        <item t="default"/>
      </items>
    </pivotField>
    <pivotField numFmtId="14" showAll="0">
      <items count="9">
        <item x="0"/>
        <item x="1"/>
        <item x="2"/>
        <item x="3"/>
        <item x="4"/>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quantity" fld="3" baseField="0" baseItem="0"/>
  </dataFields>
  <conditionalFormats count="1">
    <conditionalFormat priority="17">
      <pivotAreas count="1">
        <pivotArea type="data" collapsedLevelsAreSubtotals="1" fieldPosition="0">
          <references count="2">
            <reference field="4294967294" count="1" selected="0">
              <x v="0"/>
            </reference>
            <reference field="5" count="6">
              <x v="0"/>
              <x v="1"/>
              <x v="2"/>
              <x v="3"/>
              <x v="4"/>
              <x v="5"/>
            </reference>
          </references>
        </pivotArea>
      </pivotAreas>
    </conditionalFormat>
  </conditionalFormats>
  <pivotTableStyleInfo name="PivotStyleLight16" showRowHeaders="1" showColHeaders="1" showRowStripes="0" showColStripes="0" showLastColumn="1"/>
  <filters count="1">
    <filter fld="12" type="dateBetween" evalOrder="-1" id="55"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6AFA61-DF95-4BDF-BB99-E9E6742A09D2}" name="PivotTable7" cacheId="24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D3:E10" firstHeaderRow="1" firstDataRow="1" firstDataCol="1"/>
  <pivotFields count="15">
    <pivotField showAll="0"/>
    <pivotField showAll="0"/>
    <pivotField showAll="0"/>
    <pivotField showAll="0"/>
    <pivotField showAll="0"/>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6">
        <item x="1"/>
        <item x="4"/>
        <item x="0"/>
        <item x="3"/>
        <item x="2"/>
        <item t="default"/>
      </items>
    </pivotField>
    <pivotField showAll="0"/>
    <pivotField showAll="0"/>
    <pivotField showAll="0">
      <items count="4">
        <item x="0"/>
        <item x="1"/>
        <item x="2"/>
        <item t="default"/>
      </items>
    </pivotField>
    <pivotField numFmtId="14" showAll="0">
      <items count="9">
        <item x="0"/>
        <item x="1"/>
        <item x="2"/>
        <item x="3"/>
        <item x="4"/>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i>
    <i>
      <x v="3"/>
    </i>
    <i>
      <x v="2"/>
    </i>
    <i>
      <x v="4"/>
    </i>
    <i>
      <x v="5"/>
    </i>
    <i t="grand">
      <x/>
    </i>
  </rowItems>
  <colItems count="1">
    <i/>
  </colItems>
  <dataFields count="1">
    <dataField name="Sum of revenue" fld="6" baseField="0" baseItem="0"/>
  </dataFields>
  <conditionalFormats count="1">
    <conditionalFormat priority="1">
      <pivotAreas count="1">
        <pivotArea type="data" collapsedLevelsAreSubtotals="1" fieldPosition="0">
          <references count="2">
            <reference field="4294967294" count="1" selected="0">
              <x v="0"/>
            </reference>
            <reference field="5" count="6">
              <x v="0"/>
              <x v="1"/>
              <x v="2"/>
              <x v="3"/>
              <x v="4"/>
              <x v="5"/>
            </reference>
          </references>
        </pivotArea>
      </pivotAreas>
    </conditionalFormat>
  </conditionalFormats>
  <chartFormats count="1">
    <chartFormat chart="1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55"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1DE9C1-F940-43D5-824C-25D113389937}" name="PivotTable4" cacheId="24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0:B37" firstHeaderRow="1" firstDataRow="1" firstDataCol="1"/>
  <pivotFields count="15">
    <pivotField showAll="0"/>
    <pivotField showAll="0"/>
    <pivotField showAll="0"/>
    <pivotField showAll="0"/>
    <pivotField showAll="0"/>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6">
        <item x="1"/>
        <item x="4"/>
        <item x="0"/>
        <item x="3"/>
        <item x="2"/>
        <item t="default"/>
      </items>
    </pivotField>
    <pivotField showAll="0"/>
    <pivotField showAll="0"/>
    <pivotField showAll="0">
      <items count="4">
        <item x="0"/>
        <item x="1"/>
        <item x="2"/>
        <item t="default"/>
      </items>
    </pivotField>
    <pivotField numFmtId="14" showAll="0">
      <items count="9">
        <item x="0"/>
        <item x="1"/>
        <item x="2"/>
        <item x="3"/>
        <item x="4"/>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i>
    <i>
      <x v="3"/>
    </i>
    <i>
      <x v="2"/>
    </i>
    <i>
      <x v="4"/>
    </i>
    <i>
      <x v="5"/>
    </i>
    <i t="grand">
      <x/>
    </i>
  </rowItems>
  <colItems count="1">
    <i/>
  </colItems>
  <dataFields count="1">
    <dataField name="Sum of revenue" fld="6" baseField="0" baseItem="0"/>
  </dataFields>
  <conditionalFormats count="3">
    <conditionalFormat type="all" priority="32">
      <pivotAreas count="1">
        <pivotArea type="data" collapsedLevelsAreSubtotals="1" fieldPosition="0">
          <references count="2">
            <reference field="4294967294" count="1" selected="0">
              <x v="0"/>
            </reference>
            <reference field="5" count="6">
              <x v="0"/>
              <x v="1"/>
              <x v="2"/>
              <x v="3"/>
              <x v="4"/>
              <x v="5"/>
            </reference>
          </references>
        </pivotArea>
      </pivotAreas>
    </conditionalFormat>
    <conditionalFormat type="all" priority="33">
      <pivotAreas count="1">
        <pivotArea type="data" collapsedLevelsAreSubtotals="1" fieldPosition="0">
          <references count="2">
            <reference field="4294967294" count="1" selected="0">
              <x v="0"/>
            </reference>
            <reference field="5" count="6">
              <x v="0"/>
              <x v="1"/>
              <x v="2"/>
              <x v="3"/>
              <x v="4"/>
              <x v="5"/>
            </reference>
          </references>
        </pivotArea>
      </pivotAreas>
    </conditionalFormat>
    <conditionalFormat type="all" priority="35">
      <pivotAreas count="1">
        <pivotArea type="data" collapsedLevelsAreSubtotals="1" fieldPosition="0">
          <references count="2">
            <reference field="4294967294" count="1" selected="0">
              <x v="0"/>
            </reference>
            <reference field="5" count="1">
              <x v="0"/>
            </reference>
          </references>
        </pivotArea>
      </pivotAreas>
    </conditionalFormat>
  </conditionalFormats>
  <chartFormats count="1">
    <chartFormat chart="1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55"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601EC6-56E1-4D79-B3DA-D8D6A3358C58}" name="PivotTable3" cacheId="24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18:B25" firstHeaderRow="1" firstDataRow="1" firstDataCol="1"/>
  <pivotFields count="15">
    <pivotField showAll="0"/>
    <pivotField showAll="0"/>
    <pivotField showAll="0"/>
    <pivotField showAll="0"/>
    <pivotField showAll="0"/>
    <pivotField axis="axisRow"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6">
        <item x="1"/>
        <item x="4"/>
        <item x="0"/>
        <item x="3"/>
        <item x="2"/>
        <item t="default"/>
      </items>
    </pivotField>
    <pivotField showAll="0"/>
    <pivotField showAll="0"/>
    <pivotField showAll="0">
      <items count="4">
        <item x="0"/>
        <item x="1"/>
        <item x="2"/>
        <item t="default"/>
      </items>
    </pivotField>
    <pivotField numFmtId="14" showAll="0">
      <items count="9">
        <item x="0"/>
        <item x="1"/>
        <item x="2"/>
        <item x="3"/>
        <item x="4"/>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i>
    <i>
      <x v="3"/>
    </i>
    <i>
      <x v="2"/>
    </i>
    <i>
      <x v="4"/>
    </i>
    <i>
      <x v="5"/>
    </i>
    <i t="grand">
      <x/>
    </i>
  </rowItems>
  <colItems count="1">
    <i/>
  </colItems>
  <dataFields count="1">
    <dataField name="Sum of revenue" fld="6" baseField="0" baseItem="0"/>
  </dataFields>
  <conditionalFormats count="2">
    <conditionalFormat type="all" priority="38">
      <pivotAreas count="1">
        <pivotArea type="data" collapsedLevelsAreSubtotals="1" fieldPosition="0">
          <references count="2">
            <reference field="4294967294" count="1" selected="0">
              <x v="0"/>
            </reference>
            <reference field="5" count="6">
              <x v="0"/>
              <x v="1"/>
              <x v="2"/>
              <x v="3"/>
              <x v="4"/>
              <x v="5"/>
            </reference>
          </references>
        </pivotArea>
      </pivotAreas>
    </conditionalFormat>
    <conditionalFormat type="all" priority="40">
      <pivotAreas count="1">
        <pivotArea type="data" collapsedLevelsAreSubtotals="1" fieldPosition="0">
          <references count="2">
            <reference field="4294967294" count="1" selected="0">
              <x v="0"/>
            </reference>
            <reference field="5" count="1">
              <x v="0"/>
            </reference>
          </references>
        </pivotArea>
      </pivotAreas>
    </conditionalFormat>
  </conditionalFormats>
  <chartFormats count="1">
    <chartFormat chart="1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55"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DBA829-E430-4C3A-89D3-272D1D289443}" name="PivotTable6" cacheId="24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3:B10" firstHeaderRow="1" firstDataRow="1" firstDataCol="1"/>
  <pivotFields count="15">
    <pivotField showAll="0"/>
    <pivotField showAll="0"/>
    <pivotField showAll="0"/>
    <pivotField showAll="0"/>
    <pivotField showAll="0"/>
    <pivotField axis="axisRow" showAll="0">
      <items count="7">
        <item x="0"/>
        <item x="1"/>
        <item x="2"/>
        <item x="3"/>
        <item x="4"/>
        <item x="5"/>
        <item t="default"/>
      </items>
    </pivotField>
    <pivotField dataField="1" showAll="0"/>
    <pivotField showAll="0"/>
    <pivotField showAll="0">
      <items count="6">
        <item x="1"/>
        <item x="4"/>
        <item x="0"/>
        <item x="3"/>
        <item x="2"/>
        <item t="default"/>
      </items>
    </pivotField>
    <pivotField showAll="0"/>
    <pivotField showAll="0"/>
    <pivotField showAll="0">
      <items count="4">
        <item x="0"/>
        <item x="1"/>
        <item x="2"/>
        <item t="default"/>
      </items>
    </pivotField>
    <pivotField numFmtId="14" showAll="0">
      <items count="9">
        <item x="0"/>
        <item x="1"/>
        <item x="2"/>
        <item x="3"/>
        <item x="4"/>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revenue" fld="6" baseField="0" baseItem="0"/>
  </dataFields>
  <chartFormats count="2">
    <chartFormat chart="11" format="7"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55"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BBDF7D-3935-4292-90B3-547B6764FEC5}" name="PivotTable6" cacheId="24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3:B13" firstHeaderRow="1" firstDataRow="1" firstDataCol="1"/>
  <pivotFields count="15">
    <pivotField showAll="0"/>
    <pivotField showAll="0"/>
    <pivotField showAll="0"/>
    <pivotField showAll="0"/>
    <pivotField showAll="0"/>
    <pivotField showAll="0"/>
    <pivotField dataField="1" showAll="0"/>
    <pivotField axis="axisRow" showAll="0" sortType="ascending">
      <items count="10">
        <item x="8"/>
        <item x="6"/>
        <item x="7"/>
        <item x="4"/>
        <item x="5"/>
        <item x="1"/>
        <item x="0"/>
        <item x="2"/>
        <item x="3"/>
        <item t="default"/>
      </items>
      <autoSortScope>
        <pivotArea dataOnly="0" outline="0" fieldPosition="0">
          <references count="1">
            <reference field="4294967294" count="1" selected="0">
              <x v="0"/>
            </reference>
          </references>
        </pivotArea>
      </autoSortScope>
    </pivotField>
    <pivotField showAll="0">
      <items count="6">
        <item x="1"/>
        <item x="4"/>
        <item x="0"/>
        <item x="3"/>
        <item x="2"/>
        <item t="default"/>
      </items>
    </pivotField>
    <pivotField showAll="0"/>
    <pivotField showAll="0"/>
    <pivotField showAll="0">
      <items count="4">
        <item x="0"/>
        <item x="1"/>
        <item x="2"/>
        <item t="default"/>
      </items>
    </pivotField>
    <pivotField numFmtId="14" showAll="0">
      <items count="9">
        <item x="0"/>
        <item x="1"/>
        <item x="2"/>
        <item x="3"/>
        <item x="4"/>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0">
    <i>
      <x v="1"/>
    </i>
    <i>
      <x v="5"/>
    </i>
    <i>
      <x/>
    </i>
    <i>
      <x v="4"/>
    </i>
    <i>
      <x v="8"/>
    </i>
    <i>
      <x v="3"/>
    </i>
    <i>
      <x v="7"/>
    </i>
    <i>
      <x v="2"/>
    </i>
    <i>
      <x v="6"/>
    </i>
    <i t="grand">
      <x/>
    </i>
  </rowItems>
  <colItems count="1">
    <i/>
  </colItems>
  <dataFields count="1">
    <dataField name="Sum of revenue" fld="6" baseField="0" baseItem="0"/>
  </dataFields>
  <chartFormats count="10">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2">
          <reference field="4294967294" count="1" selected="0">
            <x v="0"/>
          </reference>
          <reference field="7" count="1" selected="0">
            <x v="7"/>
          </reference>
        </references>
      </pivotArea>
    </chartFormat>
    <chartFormat chart="16" format="6" series="1">
      <pivotArea type="data" outline="0" fieldPosition="0">
        <references count="2">
          <reference field="4294967294" count="1" selected="0">
            <x v="0"/>
          </reference>
          <reference field="7" count="1" selected="0">
            <x v="6"/>
          </reference>
        </references>
      </pivotArea>
    </chartFormat>
    <chartFormat chart="16" format="7" series="1">
      <pivotArea type="data" outline="0" fieldPosition="0">
        <references count="2">
          <reference field="4294967294" count="1" selected="0">
            <x v="0"/>
          </reference>
          <reference field="7" count="1" selected="0">
            <x v="5"/>
          </reference>
        </references>
      </pivotArea>
    </chartFormat>
    <chartFormat chart="16" format="8" series="1">
      <pivotArea type="data" outline="0" fieldPosition="0">
        <references count="2">
          <reference field="4294967294" count="1" selected="0">
            <x v="0"/>
          </reference>
          <reference field="7" count="1" selected="0">
            <x v="4"/>
          </reference>
        </references>
      </pivotArea>
    </chartFormat>
    <chartFormat chart="16" format="9" series="1">
      <pivotArea type="data" outline="0" fieldPosition="0">
        <references count="2">
          <reference field="4294967294" count="1" selected="0">
            <x v="0"/>
          </reference>
          <reference field="7" count="1" selected="0">
            <x v="3"/>
          </reference>
        </references>
      </pivotArea>
    </chartFormat>
    <chartFormat chart="16" format="10" series="1">
      <pivotArea type="data" outline="0" fieldPosition="0">
        <references count="2">
          <reference field="4294967294" count="1" selected="0">
            <x v="0"/>
          </reference>
          <reference field="7" count="1" selected="0">
            <x v="2"/>
          </reference>
        </references>
      </pivotArea>
    </chartFormat>
    <chartFormat chart="16" format="11" series="1">
      <pivotArea type="data" outline="0" fieldPosition="0">
        <references count="2">
          <reference field="4294967294" count="1" selected="0">
            <x v="0"/>
          </reference>
          <reference field="7" count="1" selected="0">
            <x v="1"/>
          </reference>
        </references>
      </pivotArea>
    </chartFormat>
    <chartFormat chart="16" format="12" series="1">
      <pivotArea type="data" outline="0" fieldPosition="0">
        <references count="2">
          <reference field="4294967294" count="1" selected="0">
            <x v="0"/>
          </reference>
          <reference field="7" count="1" selected="0">
            <x v="0"/>
          </reference>
        </references>
      </pivotArea>
    </chartFormat>
    <chartFormat chart="23"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55"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99C3B2-8919-4D58-8C0A-6A41F8C393A4}" name="PivotTable7" cacheId="24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A3:B9" firstHeaderRow="1" firstDataRow="1" firstDataCol="1"/>
  <pivotFields count="15">
    <pivotField showAll="0"/>
    <pivotField showAll="0"/>
    <pivotField showAll="0"/>
    <pivotField showAll="0"/>
    <pivotField showAll="0"/>
    <pivotField showAll="0"/>
    <pivotField dataField="1" showAll="0"/>
    <pivotField showAll="0"/>
    <pivotField axis="axisRow" showAll="0">
      <items count="6">
        <item sd="0" x="1"/>
        <item sd="0" x="4"/>
        <item sd="0" x="0"/>
        <item sd="0" x="3"/>
        <item sd="0" x="2"/>
        <item t="default"/>
      </items>
    </pivotField>
    <pivotField showAll="0"/>
    <pivotField showAll="0"/>
    <pivotField showAll="0">
      <items count="4">
        <item x="0"/>
        <item x="1"/>
        <item x="2"/>
        <item t="default"/>
      </items>
    </pivotField>
    <pivotField axis="axisRow" numFmtId="14" showAll="0">
      <items count="9">
        <item x="0"/>
        <item x="1"/>
        <item x="2"/>
        <item x="3"/>
        <item x="4"/>
        <item x="5"/>
        <item x="6"/>
        <item x="7"/>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14"/>
    <field x="12"/>
  </rowFields>
  <rowItems count="6">
    <i>
      <x/>
    </i>
    <i>
      <x v="1"/>
    </i>
    <i>
      <x v="2"/>
    </i>
    <i>
      <x v="3"/>
    </i>
    <i>
      <x v="4"/>
    </i>
    <i t="grand">
      <x/>
    </i>
  </rowItems>
  <colItems count="1">
    <i/>
  </colItems>
  <dataFields count="1">
    <dataField name="Sum of revenue" fld="6" baseField="0" baseItem="0"/>
  </dataFields>
  <chartFormats count="12">
    <chartFormat chart="0"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8" count="1" selected="0">
            <x v="0"/>
          </reference>
        </references>
      </pivotArea>
    </chartFormat>
    <chartFormat chart="15" format="10">
      <pivotArea type="data" outline="0" fieldPosition="0">
        <references count="2">
          <reference field="4294967294" count="1" selected="0">
            <x v="0"/>
          </reference>
          <reference field="8" count="1" selected="0">
            <x v="1"/>
          </reference>
        </references>
      </pivotArea>
    </chartFormat>
    <chartFormat chart="15" format="11">
      <pivotArea type="data" outline="0" fieldPosition="0">
        <references count="2">
          <reference field="4294967294" count="1" selected="0">
            <x v="0"/>
          </reference>
          <reference field="8" count="1" selected="0">
            <x v="2"/>
          </reference>
        </references>
      </pivotArea>
    </chartFormat>
    <chartFormat chart="15" format="12">
      <pivotArea type="data" outline="0" fieldPosition="0">
        <references count="2">
          <reference field="4294967294" count="1" selected="0">
            <x v="0"/>
          </reference>
          <reference field="8" count="1" selected="0">
            <x v="3"/>
          </reference>
        </references>
      </pivotArea>
    </chartFormat>
    <chartFormat chart="15" format="13">
      <pivotArea type="data" outline="0" fieldPosition="0">
        <references count="2">
          <reference field="4294967294" count="1" selected="0">
            <x v="0"/>
          </reference>
          <reference field="8" count="1" selected="0">
            <x v="4"/>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 chart="0" format="5">
      <pivotArea type="data" outline="0" fieldPosition="0">
        <references count="2">
          <reference field="4294967294" count="1" selected="0">
            <x v="0"/>
          </reference>
          <reference field="8" count="1" selected="0">
            <x v="3"/>
          </reference>
        </references>
      </pivotArea>
    </chartFormat>
    <chartFormat chart="0" format="6">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filters count="1">
    <filter fld="12" type="dateBetween" evalOrder="-1" id="55"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6B84F4-AA80-489F-8756-DD93E49F9D09}" name="PivotTable8" cacheId="24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Payment method">
  <location ref="A3:B7" firstHeaderRow="1" firstDataRow="1" firstDataCol="1"/>
  <pivotFields count="15">
    <pivotField showAll="0"/>
    <pivotField dataField="1" showAll="0"/>
    <pivotField showAll="0"/>
    <pivotField showAll="0"/>
    <pivotField showAll="0"/>
    <pivotField showAll="0"/>
    <pivotField showAll="0"/>
    <pivotField showAll="0"/>
    <pivotField showAll="0">
      <items count="6">
        <item x="1"/>
        <item x="4"/>
        <item x="0"/>
        <item x="3"/>
        <item x="2"/>
        <item t="default"/>
      </items>
    </pivotField>
    <pivotField showAll="0"/>
    <pivotField showAll="0"/>
    <pivotField axis="axisRow" showAll="0">
      <items count="4">
        <item x="0"/>
        <item x="1"/>
        <item x="2"/>
        <item t="default"/>
      </items>
    </pivotField>
    <pivotField numFmtId="14" showAll="0">
      <items count="9">
        <item x="0"/>
        <item x="1"/>
        <item x="2"/>
        <item x="3"/>
        <item x="4"/>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4">
    <i>
      <x/>
    </i>
    <i>
      <x v="1"/>
    </i>
    <i>
      <x v="2"/>
    </i>
    <i t="grand">
      <x/>
    </i>
  </rowItems>
  <colItems count="1">
    <i/>
  </colItems>
  <dataFields count="1">
    <dataField name="Sum of order_id" fld="1" baseField="0" baseItem="0"/>
  </dataFields>
  <chartFormats count="2">
    <chartFormat chart="0"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55"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5E5689-AE83-41E5-B077-3071FD1070A4}" name="PivotTable2" cacheId="24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Payment method">
  <location ref="A21:B24" firstHeaderRow="1" firstDataRow="1" firstDataCol="1"/>
  <pivotFields count="15">
    <pivotField showAll="0"/>
    <pivotField showAll="0"/>
    <pivotField showAll="0"/>
    <pivotField showAll="0"/>
    <pivotField showAll="0"/>
    <pivotField showAll="0"/>
    <pivotField showAll="0"/>
    <pivotField showAll="0"/>
    <pivotField showAll="0">
      <items count="6">
        <item x="1"/>
        <item x="4"/>
        <item x="0"/>
        <item x="3"/>
        <item x="2"/>
        <item t="default"/>
      </items>
    </pivotField>
    <pivotField showAll="0"/>
    <pivotField axis="axisRow" dataField="1" showAll="0">
      <items count="3">
        <item x="1"/>
        <item x="0"/>
        <item t="default"/>
      </items>
    </pivotField>
    <pivotField showAll="0">
      <items count="4">
        <item x="0"/>
        <item x="1"/>
        <item x="2"/>
        <item t="default"/>
      </items>
    </pivotField>
    <pivotField numFmtId="14" showAll="0">
      <items count="9">
        <item x="0"/>
        <item x="1"/>
        <item x="2"/>
        <item x="3"/>
        <item x="4"/>
        <item x="5"/>
        <item x="6"/>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1"/>
    </i>
    <i t="grand">
      <x/>
    </i>
  </rowItems>
  <colItems count="1">
    <i/>
  </colItems>
  <dataFields count="1">
    <dataField name="Count of payment_status" fld="10" subtotal="count" baseField="0" baseItem="0"/>
  </dataFields>
  <chartFormats count="6">
    <chartFormat chart="6"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0" count="1" selected="0">
            <x v="0"/>
          </reference>
        </references>
      </pivotArea>
    </chartFormat>
    <chartFormat chart="19" format="6">
      <pivotArea type="data" outline="0" fieldPosition="0">
        <references count="2">
          <reference field="4294967294" count="1" selected="0">
            <x v="0"/>
          </reference>
          <reference field="10" count="1" selected="0">
            <x v="1"/>
          </reference>
        </references>
      </pivotArea>
    </chartFormat>
    <chartFormat chart="6" format="1">
      <pivotArea type="data" outline="0" fieldPosition="0">
        <references count="2">
          <reference field="4294967294" count="1" selected="0">
            <x v="0"/>
          </reference>
          <reference field="10" count="1" selected="0">
            <x v="0"/>
          </reference>
        </references>
      </pivotArea>
    </chartFormat>
    <chartFormat chart="6"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12" type="dateBetween" evalOrder="-1" id="55"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378CB2F3-617B-4C2F-B174-2D715AB77C51}" sourceName="category_name">
  <pivotTables>
    <pivotTable tabId="21" name="PivotTable6"/>
    <pivotTable tabId="22" name="PivotTable7"/>
    <pivotTable tabId="13" name="PivotTable11"/>
    <pivotTable tabId="13" name="PivotTable3"/>
    <pivotTable tabId="13" name="PivotTable4"/>
    <pivotTable tabId="13" name="PivotTable6"/>
    <pivotTable tabId="13" name="PivotTable7"/>
    <pivotTable tabId="13" name="PivotTable9"/>
    <pivotTable tabId="23" name="PivotTable2"/>
    <pivotTable tabId="23" name="PivotTable8"/>
  </pivotTables>
  <data>
    <tabular pivotCacheId="2104414763">
      <items count="5">
        <i x="1" s="1"/>
        <i x="4"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C8D5778-94FD-40CD-94DC-1F915B18A0B5}" sourceName="payment_method">
  <pivotTables>
    <pivotTable tabId="23" name="PivotTable8"/>
    <pivotTable tabId="22" name="PivotTable7"/>
    <pivotTable tabId="13" name="PivotTable11"/>
    <pivotTable tabId="13" name="PivotTable3"/>
    <pivotTable tabId="13" name="PivotTable4"/>
    <pivotTable tabId="13" name="PivotTable6"/>
    <pivotTable tabId="13" name="PivotTable7"/>
    <pivotTable tabId="13" name="PivotTable9"/>
    <pivotTable tabId="23" name="PivotTable2"/>
    <pivotTable tabId="21" name="PivotTable6"/>
  </pivotTables>
  <data>
    <tabular pivotCacheId="210441476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name 1" xr10:uid="{C0D0C44A-FECA-4B67-82D0-52E6B266F9B0}" cache="Slicer_category_name" caption="category_name" rowHeight="257175"/>
  <slicer name="payment_method 1" xr10:uid="{ABD8A65A-84A9-48C7-83BA-2FF722141B67}" cache="Slicer_payment_method" caption="payment_metho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_name" xr10:uid="{3286EE0E-6A3D-416D-B6AE-3448D37E31EC}" cache="Slicer_category_name" caption="category_name"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6F52F3A4-FCFA-49C5-9DE4-D26CEB4C3DE6}" cache="Slicer_payment_method" caption="payment_method"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3C3ACB-FF35-4AE1-AAFA-63E0EEE1EB10}" name="tbl_customers" displayName="tbl_customers" ref="A1:E40" totalsRowShown="0">
  <autoFilter ref="A1:E40" xr:uid="{D63C3ACB-FF35-4AE1-AAFA-63E0EEE1EB10}"/>
  <sortState xmlns:xlrd2="http://schemas.microsoft.com/office/spreadsheetml/2017/richdata2" ref="A2:E40">
    <sortCondition descending="1" ref="E1:E40"/>
  </sortState>
  <tableColumns count="5">
    <tableColumn id="1" xr3:uid="{4DDCBA51-4EFD-439C-9298-4005A933B1BA}" name="customer_id"/>
    <tableColumn id="2" xr3:uid="{31027205-E8B6-4DE9-BAEE-27237AFDD2B2}" name="first_name"/>
    <tableColumn id="3" xr3:uid="{B46BD0EC-2954-445C-8AB1-FD07D306C88C}" name="last_name"/>
    <tableColumn id="4" xr3:uid="{168CF27F-EA6B-4FFD-91D6-847DC8D38EEE}" name="city"/>
    <tableColumn id="5" xr3:uid="{5EB5ACA4-E18F-4186-9AD9-85BACE33069E}" name="registration_date" dataDxfId="5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4B91C72-50F1-4522-9BFC-64393D6C790F}" name="tbl_product" displayName="tbl_product" ref="A1:E11" totalsRowShown="0" headerRowDxfId="52" dataDxfId="51" tableBorderDxfId="50">
  <autoFilter ref="A1:E11" xr:uid="{C4B91C72-50F1-4522-9BFC-64393D6C790F}">
    <filterColumn colId="3">
      <customFilters>
        <customFilter operator="greaterThan" val="500"/>
      </customFilters>
    </filterColumn>
  </autoFilter>
  <sortState xmlns:xlrd2="http://schemas.microsoft.com/office/spreadsheetml/2017/richdata2" ref="A2:D11">
    <sortCondition descending="1" ref="D1:D11"/>
  </sortState>
  <tableColumns count="5">
    <tableColumn id="1" xr3:uid="{877B6033-23C5-4E07-95E6-A617AE530475}" name="product_id" dataDxfId="49"/>
    <tableColumn id="2" xr3:uid="{0740371E-62EB-4A94-B820-1A4D4F39A087}" name="product_name" dataDxfId="48"/>
    <tableColumn id="3" xr3:uid="{78F412A4-FFF1-4DDF-A5EF-C997FE6DF437}" name="category_id" dataDxfId="47"/>
    <tableColumn id="4" xr3:uid="{CAA2FC7D-DB58-4018-A973-F6201E847F28}" name="price" dataDxfId="46"/>
    <tableColumn id="5" xr3:uid="{D705748D-BEE4-4D1D-AB3A-CD04470B593C}" name="category_name" dataDxfId="4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EA17A4-4049-4C58-9B7B-CD6B2767C210}" name="Table3" displayName="Table3" ref="A3:K5" totalsRowShown="0">
  <autoFilter ref="A3:K5" xr:uid="{3CEA17A4-4049-4C58-9B7B-CD6B2767C210}"/>
  <tableColumns count="11">
    <tableColumn id="1" xr3:uid="{7720F9DD-A6DE-4BC8-A991-8047853746E3}" name="order_item_id"/>
    <tableColumn id="2" xr3:uid="{B3B26E9D-F89D-4A64-928E-BEAF8EF83EC3}" name="order_id"/>
    <tableColumn id="3" xr3:uid="{892D83C8-F173-492D-A48F-6618281749AF}" name="product_id"/>
    <tableColumn id="4" xr3:uid="{8E17DCC8-9688-4407-AC66-E2AE9C61E02B}" name="quantity"/>
    <tableColumn id="5" xr3:uid="{34CC7C41-1710-4D43-A3FF-179C36D1FD7F}" name="unit_price"/>
    <tableColumn id="6" xr3:uid="{8AAF7C73-3660-4A04-9B2B-E3CC8CFA00A0}" name="customer_id"/>
    <tableColumn id="7" xr3:uid="{2BC7C0F8-7965-4FEB-B15D-C066BBA3C8B2}" name="revenue"/>
    <tableColumn id="8" xr3:uid="{DAA770C5-0E6D-423F-904E-7228067DFCAC}" name="product_name"/>
    <tableColumn id="9" xr3:uid="{5C3A7556-0A1D-44FD-8CDA-576F9F05CFA7}" name="category_name"/>
    <tableColumn id="10" xr3:uid="{50767CE8-D551-40C8-B0F1-2427FC20B610}" name="category_id"/>
    <tableColumn id="11" xr3:uid="{D76F3610-A147-4CD3-9864-FC1AB0199C8B}" name="payment_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0E7508-71A2-4EC1-9AFB-0346F8BE3796}" name="Table4" displayName="Table4" ref="A3:K6" totalsRowShown="0">
  <autoFilter ref="A3:K6" xr:uid="{7E0E7508-71A2-4EC1-9AFB-0346F8BE3796}"/>
  <tableColumns count="11">
    <tableColumn id="1" xr3:uid="{35E0B32F-9385-4936-AC1E-4346C8B4252A}" name="order_item_id"/>
    <tableColumn id="2" xr3:uid="{69D35833-618E-4BEA-AC3D-2A024F75229F}" name="order_id"/>
    <tableColumn id="3" xr3:uid="{C771A87E-6255-4EF9-8B1B-346197D05A81}" name="product_id"/>
    <tableColumn id="4" xr3:uid="{B8463CD2-B4BC-4088-9159-AA923DEE6A21}" name="quantity"/>
    <tableColumn id="5" xr3:uid="{8D697328-AC40-487C-930D-5F961ECDBB81}" name="unit_price"/>
    <tableColumn id="6" xr3:uid="{B88D5A8D-1D70-42E3-B139-19518D3C044C}" name="customer_id"/>
    <tableColumn id="7" xr3:uid="{9CC722E6-8487-4B0C-BD68-C8D3DC4301CA}" name="revenue"/>
    <tableColumn id="8" xr3:uid="{85525708-D6D0-42A1-9AD8-6D53ED3CC9AC}" name="product_name"/>
    <tableColumn id="9" xr3:uid="{AB82849B-A0A8-472A-B5FC-535435ADF441}" name="category_name"/>
    <tableColumn id="10" xr3:uid="{50855117-159B-42CC-8674-90B7B126C89F}" name="category_id"/>
    <tableColumn id="11" xr3:uid="{E7254DF3-7059-4805-B23D-EA9A99330D57}" name="payment_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1051CA7-36AF-4C45-A274-CBE7B8F3E984}" name="Table7" displayName="Table7" ref="A3:K5" totalsRowShown="0">
  <autoFilter ref="A3:K5" xr:uid="{C1051CA7-36AF-4C45-A274-CBE7B8F3E984}"/>
  <tableColumns count="11">
    <tableColumn id="1" xr3:uid="{D8F63EB2-D7D6-460E-A9EC-B46F7971771B}" name="order_item_id"/>
    <tableColumn id="2" xr3:uid="{546EE671-4FF1-46E3-A498-EFE2351B8F8B}" name="order_id"/>
    <tableColumn id="3" xr3:uid="{4488A78B-BD23-4A7B-A05D-E9F097C0EA89}" name="product_id"/>
    <tableColumn id="4" xr3:uid="{7DA06E09-410E-4DAF-9A40-D6438EBB65E0}" name="quantity"/>
    <tableColumn id="5" xr3:uid="{33016514-469C-41C9-A8C2-ACED4751ED5A}" name="unit_price"/>
    <tableColumn id="6" xr3:uid="{8A155216-0490-467B-8519-4F9B80F5725B}" name="customer_id"/>
    <tableColumn id="7" xr3:uid="{C4C9A5A5-277B-4BC8-8FA3-E5FA7B08605B}" name="revenue"/>
    <tableColumn id="8" xr3:uid="{AAD4E41F-99D5-4F78-B78A-4D2930ECD96F}" name="product_name"/>
    <tableColumn id="9" xr3:uid="{F1959244-0653-4FA3-ADD3-03A848B59116}" name="category_name"/>
    <tableColumn id="10" xr3:uid="{4E164587-9D06-4F5D-83F9-525F46B785DF}" name="category_id"/>
    <tableColumn id="11" xr3:uid="{DF268BB7-4007-4185-9EEB-7504A3650717}" name="payment_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5A282BF-F2F6-41AD-8921-670E102B60F9}" name="Table8" displayName="Table8" ref="A3:L8" totalsRowShown="0">
  <autoFilter ref="A3:L8" xr:uid="{55A282BF-F2F6-41AD-8921-670E102B60F9}"/>
  <tableColumns count="12">
    <tableColumn id="1" xr3:uid="{DBB27C60-1A81-4B40-BEFD-4385D90B4249}" name="order_item_id"/>
    <tableColumn id="2" xr3:uid="{9703A637-B44A-4E09-B9AA-1F3BE4ADFF8E}" name="order_id"/>
    <tableColumn id="3" xr3:uid="{A64BB9C5-29EF-437A-870A-C4A653CBFEE5}" name="product_id"/>
    <tableColumn id="4" xr3:uid="{BE86CD63-C121-4F40-96B7-825ECCE56B9F}" name="quantity"/>
    <tableColumn id="5" xr3:uid="{4E2FC748-93E4-49FC-9F88-082CAABB8950}" name="unit_price"/>
    <tableColumn id="6" xr3:uid="{6817A81F-E81B-4D2F-A18E-15584A0F31E1}" name="customer_id"/>
    <tableColumn id="7" xr3:uid="{EBF220CA-6533-4FF9-9556-B4E7D9E86525}" name="revenue"/>
    <tableColumn id="8" xr3:uid="{969895CC-A2AE-466F-BA50-AF4D0DA6EFD8}" name="product_name"/>
    <tableColumn id="9" xr3:uid="{66630306-8347-44B2-A4CC-A19FA4B96367}" name="category_name"/>
    <tableColumn id="10" xr3:uid="{CAC40B6A-ACF5-45E5-AAB7-DCFFFD85E3D0}" name="category_id"/>
    <tableColumn id="11" xr3:uid="{165B3674-97CF-4241-B6A1-EA37114002AB}" name="payment_status"/>
    <tableColumn id="12" xr3:uid="{727BB8FE-6A35-412F-91D5-A92E31EEA06A}" name="payment_metho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C438FC-C549-4C4A-B48F-F940AF0C6C72}" name="Table1" displayName="Table1" ref="A1:E9" totalsRowShown="0" headerRowDxfId="24" tableBorderDxfId="23">
  <autoFilter ref="A1:E9" xr:uid="{B8C438FC-C549-4C4A-B48F-F940AF0C6C72}"/>
  <tableColumns count="5">
    <tableColumn id="1" xr3:uid="{8D3362F6-272E-4421-8E1E-AD1D6D52F0D6}" name="order_id" dataDxfId="22"/>
    <tableColumn id="2" xr3:uid="{6AE11403-3ADC-4060-94E5-C1553A24F25E}" name="customer_id" dataDxfId="21"/>
    <tableColumn id="3" xr3:uid="{70354DEC-F303-4BB6-B744-48359F197F23}" name="order_date" dataDxfId="20"/>
    <tableColumn id="4" xr3:uid="{01795100-158E-4574-9695-0EFF0692E9B4}" name="status" dataDxfId="19"/>
    <tableColumn id="5" xr3:uid="{76F80C0F-BA79-4C67-BEF6-7B07D98938AC}" name="amount" dataDxfId="1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810CF25-C79B-4B14-BC90-7E950200C5B3}" name="tbl_order_items" displayName="tbl_order_items" ref="A1:M10" totalsRowShown="0">
  <autoFilter ref="A1:M10" xr:uid="{C810CF25-C79B-4B14-BC90-7E950200C5B3}"/>
  <tableColumns count="13">
    <tableColumn id="1" xr3:uid="{A072B75B-2744-450D-A6EC-CE17D4D90DD2}" name="order_item_id"/>
    <tableColumn id="2" xr3:uid="{98CEE4CA-1B53-4871-93F7-CF260B754934}" name="order_id"/>
    <tableColumn id="3" xr3:uid="{1382BB4C-EF64-4113-8694-F4FD2E93BBAA}" name="product_id"/>
    <tableColumn id="4" xr3:uid="{4C7AE0EE-03B0-400B-BBA2-234C13BE3FEE}" name="quantity"/>
    <tableColumn id="5" xr3:uid="{60E594F5-1094-4098-8CDC-A0BBECF69508}" name="unit_price" dataDxfId="17"/>
    <tableColumn id="6" xr3:uid="{7B7E544F-AC3D-43BF-BB4B-72D1C3D8DE87}" name="customer_id">
      <calculatedColumnFormula>_xlfn.XLOOKUP(B2,Orders!A:A,Orders!B:B)</calculatedColumnFormula>
    </tableColumn>
    <tableColumn id="7" xr3:uid="{8AFDDA71-597B-46F3-863D-394283BAA6E5}" name="revenue">
      <calculatedColumnFormula>D2*E2</calculatedColumnFormula>
    </tableColumn>
    <tableColumn id="8" xr3:uid="{DD71D3B5-423A-442E-812C-F35B023B2B63}" name="product_name">
      <calculatedColumnFormula>_xlfn.XLOOKUP(C2,tbl_product[product_id],tbl_product[product_name])</calculatedColumnFormula>
    </tableColumn>
    <tableColumn id="9" xr3:uid="{1FAAB244-8169-43CC-B2B7-F5B32806468D}" name="category_name">
      <calculatedColumnFormula>_xlfn.XLOOKUP(J2, categories!A:A, categories!B:B)</calculatedColumnFormula>
    </tableColumn>
    <tableColumn id="10" xr3:uid="{457768E8-40A8-458A-B6ED-3957F866D7FC}" name="category_id">
      <calculatedColumnFormula>_xlfn.XLOOKUP(C2,Products!A:A,Products!C:C)</calculatedColumnFormula>
    </tableColumn>
    <tableColumn id="11" xr3:uid="{4C8489D2-1EC6-42A8-AB81-2F74EE8A961F}" name="payment_status">
      <calculatedColumnFormula>_xlfn.XLOOKUP(B2,Payments!A:A,Payments!D:D)</calculatedColumnFormula>
    </tableColumn>
    <tableColumn id="12" xr3:uid="{CDF95AB7-1336-46E3-A9F5-4CE1DA9D69E2}" name="payment_method">
      <calculatedColumnFormula>_xlfn.XLOOKUP(B2,Payments!A:A,Payments!C:C)</calculatedColumnFormula>
    </tableColumn>
    <tableColumn id="13" xr3:uid="{D799D3E3-65F4-458E-BEF0-9FFAC3FCDCE6}" name="order_date" dataDxfId="16">
      <calculatedColumnFormula>_xlfn.XLOOKUP(B2,Orders!A:A,Orders!C:C)</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E45E2F8-9DD6-400A-B84E-D08DB6AE41D9}" name="tbl_payments" displayName="tbl_payments" ref="A1:E9" totalsRowShown="0">
  <autoFilter ref="A1:E9" xr:uid="{5E45E2F8-9DD6-400A-B84E-D08DB6AE41D9}"/>
  <tableColumns count="5">
    <tableColumn id="1" xr3:uid="{EBFEA37B-1399-4206-9A20-244B7A895A4C}" name="payment_id"/>
    <tableColumn id="2" xr3:uid="{E28903FD-7F7C-4922-8C64-420754DB282C}" name="order_id"/>
    <tableColumn id="3" xr3:uid="{7B9081FF-094C-4A53-A425-74D2CAF20750}" name="payment_method"/>
    <tableColumn id="4" xr3:uid="{A6BD7005-4A7B-4A3A-9FBE-746BC661E337}" name="payment_status"/>
    <tableColumn id="5" xr3:uid="{6A567B63-6BA8-439B-B945-1681445DA43D}" name="payment_date" dataDxfId="15"/>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81E4264-AF61-4FDC-A513-02195349C5F9}" name="tbl_analysis" displayName="tbl_analysis" ref="A1:I5" totalsRowShown="0" headerRowDxfId="14" dataDxfId="13">
  <autoFilter ref="A1:I5" xr:uid="{A81E4264-AF61-4FDC-A513-02195349C5F9}"/>
  <sortState xmlns:xlrd2="http://schemas.microsoft.com/office/spreadsheetml/2017/richdata2" ref="A2:I5">
    <sortCondition descending="1" ref="B1:B5"/>
  </sortState>
  <tableColumns count="9">
    <tableColumn id="1" xr3:uid="{06D632E4-D168-4E85-8DC5-624067BEE3DD}" name="Customer" dataDxfId="12"/>
    <tableColumn id="2" xr3:uid="{DB0FC619-C853-4743-ABC3-7F7A68593EF0}" name="Revenue" dataDxfId="11"/>
    <tableColumn id="3" xr3:uid="{F08AD2FD-BDC9-4B17-BFDB-DCE1A24E15C1}" name="SUM" dataDxfId="10"/>
    <tableColumn id="4" xr3:uid="{0C463496-1B54-41F0-859F-E7D13EF0E315}" name="AVG" dataDxfId="9"/>
    <tableColumn id="5" xr3:uid="{9D6981BA-A2CF-4A7F-BCD5-07EBD2068879}" name="MAX" dataDxfId="8"/>
    <tableColumn id="6" xr3:uid="{F989309A-37C0-426C-A276-3C208D41BCC2}" name="MIN" dataDxfId="7"/>
    <tableColumn id="7" xr3:uid="{861485A9-7006-4413-B280-954CD72B7DA8}" name="COUNT" dataDxfId="6"/>
    <tableColumn id="8" xr3:uid="{70AFB3C9-32B3-4818-9F62-E932BB6412E6}" name="SEGMENT" dataDxfId="5">
      <calculatedColumnFormula>IF(B2&gt;1000,"VIP","Regular")</calculatedColumnFormula>
    </tableColumn>
    <tableColumn id="9" xr3:uid="{082F2BEB-4294-48CB-8179-37E68E8A63E7}" name="SEGMENT 2" dataDxfId="4">
      <calculatedColumnFormula array="1">_xlfn.IFS(B2&gt;1500,"Premium",B2&gt;1000,"VIP",TRUE,"Regular")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B6D98DB-E89F-4BA9-89FB-DB9A7B72699F}" sourceName="order_date">
  <pivotTables>
    <pivotTable tabId="22" name="PivotTable7"/>
    <pivotTable tabId="13" name="PivotTable11"/>
    <pivotTable tabId="13" name="PivotTable3"/>
    <pivotTable tabId="13" name="PivotTable4"/>
    <pivotTable tabId="13" name="PivotTable6"/>
    <pivotTable tabId="13" name="PivotTable7"/>
    <pivotTable tabId="13" name="PivotTable9"/>
    <pivotTable tabId="23" name="PivotTable2"/>
    <pivotTable tabId="23" name="PivotTable8"/>
    <pivotTable tabId="21" name="PivotTable6"/>
  </pivotTables>
  <state minimalRefreshVersion="6" lastRefreshVersion="6" pivotCacheId="2104414763" filterType="dateBetween">
    <selection startDate="2024-01-01T00:00:00" endDate="2024-12-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3A6613C-2863-43BA-833D-C503DE169491}" cache="NativeTimeline_order_date" caption="order_date" level="2" selectionLevel="0" scrollPosition="2024-07-2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DD09F-A6F3-4D38-9726-720109F9878B}">
  <dimension ref="A1:E40"/>
  <sheetViews>
    <sheetView topLeftCell="A7" workbookViewId="0">
      <selection sqref="A1:E40"/>
    </sheetView>
  </sheetViews>
  <sheetFormatPr defaultRowHeight="15" x14ac:dyDescent="0.25"/>
  <cols>
    <col min="1" max="1" width="13.5703125" customWidth="1"/>
    <col min="2" max="2" width="12" customWidth="1"/>
    <col min="3" max="3" width="11.5703125" customWidth="1"/>
    <col min="5" max="5" width="17.85546875" customWidth="1"/>
    <col min="7" max="7" width="10.42578125" customWidth="1"/>
  </cols>
  <sheetData>
    <row r="1" spans="1:5" x14ac:dyDescent="0.25">
      <c r="A1" t="s">
        <v>70</v>
      </c>
      <c r="B1" t="s">
        <v>71</v>
      </c>
      <c r="C1" t="s">
        <v>72</v>
      </c>
      <c r="D1" t="s">
        <v>73</v>
      </c>
      <c r="E1" s="1" t="s">
        <v>74</v>
      </c>
    </row>
    <row r="2" spans="1:5" x14ac:dyDescent="0.25">
      <c r="A2">
        <v>39</v>
      </c>
      <c r="B2" t="s">
        <v>24</v>
      </c>
      <c r="C2" t="s">
        <v>25</v>
      </c>
      <c r="D2" t="s">
        <v>5</v>
      </c>
      <c r="E2" s="1">
        <v>45313</v>
      </c>
    </row>
    <row r="3" spans="1:5" x14ac:dyDescent="0.25">
      <c r="A3">
        <v>38</v>
      </c>
      <c r="B3" t="s">
        <v>21</v>
      </c>
      <c r="C3" t="s">
        <v>22</v>
      </c>
      <c r="D3" t="s">
        <v>11</v>
      </c>
      <c r="E3" s="1">
        <v>45311</v>
      </c>
    </row>
    <row r="4" spans="1:5" x14ac:dyDescent="0.25">
      <c r="A4">
        <v>37</v>
      </c>
      <c r="B4" t="s">
        <v>18</v>
      </c>
      <c r="C4" t="s">
        <v>19</v>
      </c>
      <c r="D4" t="s">
        <v>29</v>
      </c>
      <c r="E4" s="1">
        <v>45308</v>
      </c>
    </row>
    <row r="5" spans="1:5" x14ac:dyDescent="0.25">
      <c r="A5">
        <v>36</v>
      </c>
      <c r="B5" t="s">
        <v>15</v>
      </c>
      <c r="C5" t="s">
        <v>16</v>
      </c>
      <c r="D5" t="s">
        <v>20</v>
      </c>
      <c r="E5" s="1">
        <v>45306</v>
      </c>
    </row>
    <row r="6" spans="1:5" x14ac:dyDescent="0.25">
      <c r="A6">
        <v>35</v>
      </c>
      <c r="B6" t="s">
        <v>12</v>
      </c>
      <c r="C6" t="s">
        <v>13</v>
      </c>
      <c r="D6" t="s">
        <v>17</v>
      </c>
      <c r="E6" s="1">
        <v>45305</v>
      </c>
    </row>
    <row r="7" spans="1:5" x14ac:dyDescent="0.25">
      <c r="A7">
        <v>34</v>
      </c>
      <c r="B7" t="s">
        <v>9</v>
      </c>
      <c r="C7" t="s">
        <v>10</v>
      </c>
      <c r="D7" t="s">
        <v>23</v>
      </c>
      <c r="E7" s="1">
        <v>45303</v>
      </c>
    </row>
    <row r="8" spans="1:5" x14ac:dyDescent="0.25">
      <c r="A8">
        <v>33</v>
      </c>
      <c r="B8" t="s">
        <v>6</v>
      </c>
      <c r="C8" t="s">
        <v>7</v>
      </c>
      <c r="D8" t="s">
        <v>26</v>
      </c>
      <c r="E8" s="1">
        <v>45301</v>
      </c>
    </row>
    <row r="9" spans="1:5" x14ac:dyDescent="0.25">
      <c r="A9">
        <v>32</v>
      </c>
      <c r="B9" t="s">
        <v>3</v>
      </c>
      <c r="C9" t="s">
        <v>4</v>
      </c>
      <c r="D9" t="s">
        <v>5</v>
      </c>
      <c r="E9" s="1">
        <v>45298</v>
      </c>
    </row>
    <row r="10" spans="1:5" x14ac:dyDescent="0.25">
      <c r="A10">
        <v>31</v>
      </c>
      <c r="B10" t="s">
        <v>0</v>
      </c>
      <c r="C10" t="s">
        <v>1</v>
      </c>
      <c r="D10" t="s">
        <v>2</v>
      </c>
      <c r="E10" s="1">
        <v>45296</v>
      </c>
    </row>
    <row r="11" spans="1:5" x14ac:dyDescent="0.25">
      <c r="A11">
        <v>30</v>
      </c>
      <c r="B11" t="s">
        <v>68</v>
      </c>
      <c r="C11" t="s">
        <v>69</v>
      </c>
      <c r="D11" t="s">
        <v>29</v>
      </c>
      <c r="E11" s="1">
        <v>45029</v>
      </c>
    </row>
    <row r="12" spans="1:5" x14ac:dyDescent="0.25">
      <c r="A12">
        <v>29</v>
      </c>
      <c r="B12" t="s">
        <v>66</v>
      </c>
      <c r="C12" t="s">
        <v>67</v>
      </c>
      <c r="D12" t="s">
        <v>26</v>
      </c>
      <c r="E12" s="1">
        <v>45026</v>
      </c>
    </row>
    <row r="13" spans="1:5" x14ac:dyDescent="0.25">
      <c r="A13">
        <v>28</v>
      </c>
      <c r="B13" t="s">
        <v>64</v>
      </c>
      <c r="C13" t="s">
        <v>65</v>
      </c>
      <c r="D13" t="s">
        <v>23</v>
      </c>
      <c r="E13" s="1">
        <v>45024</v>
      </c>
    </row>
    <row r="14" spans="1:5" x14ac:dyDescent="0.25">
      <c r="A14">
        <v>27</v>
      </c>
      <c r="B14" t="s">
        <v>62</v>
      </c>
      <c r="C14" t="s">
        <v>63</v>
      </c>
      <c r="D14" t="s">
        <v>20</v>
      </c>
      <c r="E14" s="1">
        <v>45020</v>
      </c>
    </row>
    <row r="15" spans="1:5" x14ac:dyDescent="0.25">
      <c r="A15">
        <v>26</v>
      </c>
      <c r="B15" t="s">
        <v>60</v>
      </c>
      <c r="C15" t="s">
        <v>61</v>
      </c>
      <c r="D15" t="s">
        <v>17</v>
      </c>
      <c r="E15" s="1">
        <v>45017</v>
      </c>
    </row>
    <row r="16" spans="1:5" x14ac:dyDescent="0.25">
      <c r="A16">
        <v>25</v>
      </c>
      <c r="B16" t="s">
        <v>58</v>
      </c>
      <c r="C16" t="s">
        <v>59</v>
      </c>
      <c r="D16" t="s">
        <v>14</v>
      </c>
      <c r="E16" s="1">
        <v>45013</v>
      </c>
    </row>
    <row r="17" spans="1:5" x14ac:dyDescent="0.25">
      <c r="A17">
        <v>24</v>
      </c>
      <c r="B17" t="s">
        <v>56</v>
      </c>
      <c r="C17" t="s">
        <v>57</v>
      </c>
      <c r="D17" t="s">
        <v>11</v>
      </c>
      <c r="E17" s="1">
        <v>45010</v>
      </c>
    </row>
    <row r="18" spans="1:5" x14ac:dyDescent="0.25">
      <c r="A18">
        <v>23</v>
      </c>
      <c r="B18" t="s">
        <v>54</v>
      </c>
      <c r="C18" t="s">
        <v>55</v>
      </c>
      <c r="D18" t="s">
        <v>8</v>
      </c>
      <c r="E18" s="1">
        <v>45007</v>
      </c>
    </row>
    <row r="19" spans="1:5" x14ac:dyDescent="0.25">
      <c r="A19">
        <v>22</v>
      </c>
      <c r="B19" t="s">
        <v>52</v>
      </c>
      <c r="C19" t="s">
        <v>53</v>
      </c>
      <c r="D19" t="s">
        <v>2</v>
      </c>
      <c r="E19" s="1">
        <v>45005</v>
      </c>
    </row>
    <row r="20" spans="1:5" x14ac:dyDescent="0.25">
      <c r="A20">
        <v>21</v>
      </c>
      <c r="B20" t="s">
        <v>50</v>
      </c>
      <c r="C20" t="s">
        <v>51</v>
      </c>
      <c r="D20" t="s">
        <v>5</v>
      </c>
      <c r="E20" s="1">
        <v>45003</v>
      </c>
    </row>
    <row r="21" spans="1:5" x14ac:dyDescent="0.25">
      <c r="A21">
        <v>20</v>
      </c>
      <c r="B21" t="s">
        <v>48</v>
      </c>
      <c r="C21" t="s">
        <v>49</v>
      </c>
      <c r="D21" t="s">
        <v>29</v>
      </c>
      <c r="E21" s="1">
        <v>45000</v>
      </c>
    </row>
    <row r="22" spans="1:5" x14ac:dyDescent="0.25">
      <c r="A22">
        <v>19</v>
      </c>
      <c r="B22" t="s">
        <v>46</v>
      </c>
      <c r="C22" t="s">
        <v>47</v>
      </c>
      <c r="D22" t="s">
        <v>26</v>
      </c>
      <c r="E22" s="1">
        <v>44997</v>
      </c>
    </row>
    <row r="23" spans="1:5" x14ac:dyDescent="0.25">
      <c r="A23">
        <v>18</v>
      </c>
      <c r="B23" t="s">
        <v>44</v>
      </c>
      <c r="C23" t="s">
        <v>45</v>
      </c>
      <c r="D23" t="s">
        <v>23</v>
      </c>
      <c r="E23" s="1">
        <v>44995</v>
      </c>
    </row>
    <row r="24" spans="1:5" x14ac:dyDescent="0.25">
      <c r="A24">
        <v>17</v>
      </c>
      <c r="B24" t="s">
        <v>42</v>
      </c>
      <c r="C24" t="s">
        <v>43</v>
      </c>
      <c r="D24" t="s">
        <v>20</v>
      </c>
      <c r="E24" s="1">
        <v>44992</v>
      </c>
    </row>
    <row r="25" spans="1:5" x14ac:dyDescent="0.25">
      <c r="A25">
        <v>16</v>
      </c>
      <c r="B25" t="s">
        <v>40</v>
      </c>
      <c r="C25" t="s">
        <v>41</v>
      </c>
      <c r="D25" t="s">
        <v>17</v>
      </c>
      <c r="E25" s="1">
        <v>44988</v>
      </c>
    </row>
    <row r="26" spans="1:5" x14ac:dyDescent="0.25">
      <c r="A26">
        <v>15</v>
      </c>
      <c r="B26" t="s">
        <v>38</v>
      </c>
      <c r="C26" t="s">
        <v>39</v>
      </c>
      <c r="D26" t="s">
        <v>14</v>
      </c>
      <c r="E26" s="1">
        <v>44986</v>
      </c>
    </row>
    <row r="27" spans="1:5" x14ac:dyDescent="0.25">
      <c r="A27">
        <v>14</v>
      </c>
      <c r="B27" t="s">
        <v>36</v>
      </c>
      <c r="C27" t="s">
        <v>37</v>
      </c>
      <c r="D27" t="s">
        <v>11</v>
      </c>
      <c r="E27" s="1">
        <v>44982</v>
      </c>
    </row>
    <row r="28" spans="1:5" x14ac:dyDescent="0.25">
      <c r="A28">
        <v>13</v>
      </c>
      <c r="B28" t="s">
        <v>34</v>
      </c>
      <c r="C28" t="s">
        <v>35</v>
      </c>
      <c r="D28" t="s">
        <v>8</v>
      </c>
      <c r="E28" s="1">
        <v>44979</v>
      </c>
    </row>
    <row r="29" spans="1:5" x14ac:dyDescent="0.25">
      <c r="A29">
        <v>12</v>
      </c>
      <c r="B29" t="s">
        <v>32</v>
      </c>
      <c r="C29" t="s">
        <v>33</v>
      </c>
      <c r="D29" t="s">
        <v>2</v>
      </c>
      <c r="E29" s="1">
        <v>44977</v>
      </c>
    </row>
    <row r="30" spans="1:5" x14ac:dyDescent="0.25">
      <c r="A30">
        <v>11</v>
      </c>
      <c r="B30" t="s">
        <v>30</v>
      </c>
      <c r="C30" t="s">
        <v>31</v>
      </c>
      <c r="D30" t="s">
        <v>5</v>
      </c>
      <c r="E30" s="1">
        <v>44975</v>
      </c>
    </row>
    <row r="31" spans="1:5" x14ac:dyDescent="0.25">
      <c r="A31">
        <v>10</v>
      </c>
      <c r="B31" t="s">
        <v>27</v>
      </c>
      <c r="C31" t="s">
        <v>28</v>
      </c>
      <c r="D31" t="s">
        <v>29</v>
      </c>
      <c r="E31" s="1">
        <v>44971</v>
      </c>
    </row>
    <row r="32" spans="1:5" x14ac:dyDescent="0.25">
      <c r="A32">
        <v>9</v>
      </c>
      <c r="B32" t="s">
        <v>24</v>
      </c>
      <c r="C32" t="s">
        <v>25</v>
      </c>
      <c r="D32" t="s">
        <v>26</v>
      </c>
      <c r="E32" s="1">
        <v>44968</v>
      </c>
    </row>
    <row r="33" spans="1:5" x14ac:dyDescent="0.25">
      <c r="A33">
        <v>8</v>
      </c>
      <c r="B33" t="s">
        <v>21</v>
      </c>
      <c r="C33" t="s">
        <v>22</v>
      </c>
      <c r="D33" t="s">
        <v>23</v>
      </c>
      <c r="E33" s="1">
        <v>44964</v>
      </c>
    </row>
    <row r="34" spans="1:5" x14ac:dyDescent="0.25">
      <c r="A34">
        <v>7</v>
      </c>
      <c r="B34" t="s">
        <v>18</v>
      </c>
      <c r="C34" t="s">
        <v>19</v>
      </c>
      <c r="D34" t="s">
        <v>20</v>
      </c>
      <c r="E34" s="1">
        <v>44962</v>
      </c>
    </row>
    <row r="35" spans="1:5" x14ac:dyDescent="0.25">
      <c r="A35">
        <v>6</v>
      </c>
      <c r="B35" t="s">
        <v>15</v>
      </c>
      <c r="C35" t="s">
        <v>16</v>
      </c>
      <c r="D35" t="s">
        <v>17</v>
      </c>
      <c r="E35" s="1">
        <v>44958</v>
      </c>
    </row>
    <row r="36" spans="1:5" x14ac:dyDescent="0.25">
      <c r="A36">
        <v>5</v>
      </c>
      <c r="B36" t="s">
        <v>12</v>
      </c>
      <c r="C36" t="s">
        <v>13</v>
      </c>
      <c r="D36" t="s">
        <v>14</v>
      </c>
      <c r="E36" s="1">
        <v>44954</v>
      </c>
    </row>
    <row r="37" spans="1:5" x14ac:dyDescent="0.25">
      <c r="A37">
        <v>4</v>
      </c>
      <c r="B37" t="s">
        <v>9</v>
      </c>
      <c r="C37" t="s">
        <v>10</v>
      </c>
      <c r="D37" t="s">
        <v>11</v>
      </c>
      <c r="E37" s="1">
        <v>44949</v>
      </c>
    </row>
    <row r="38" spans="1:5" x14ac:dyDescent="0.25">
      <c r="A38">
        <v>3</v>
      </c>
      <c r="B38" t="s">
        <v>6</v>
      </c>
      <c r="C38" t="s">
        <v>7</v>
      </c>
      <c r="D38" t="s">
        <v>8</v>
      </c>
      <c r="E38" s="1">
        <v>44947</v>
      </c>
    </row>
    <row r="39" spans="1:5" x14ac:dyDescent="0.25">
      <c r="A39">
        <v>2</v>
      </c>
      <c r="B39" t="s">
        <v>3</v>
      </c>
      <c r="C39" t="s">
        <v>4</v>
      </c>
      <c r="D39" t="s">
        <v>5</v>
      </c>
      <c r="E39" s="1">
        <v>44944</v>
      </c>
    </row>
    <row r="40" spans="1:5" x14ac:dyDescent="0.25">
      <c r="A40">
        <v>1</v>
      </c>
      <c r="B40" t="s">
        <v>0</v>
      </c>
      <c r="C40" t="s">
        <v>1</v>
      </c>
      <c r="D40" t="s">
        <v>2</v>
      </c>
      <c r="E40" s="1">
        <v>44941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2695D-EF39-49E1-B55C-4EAEDFD1D99D}">
  <dimension ref="A1:B6"/>
  <sheetViews>
    <sheetView workbookViewId="0">
      <selection activeCell="B3" sqref="B3"/>
    </sheetView>
  </sheetViews>
  <sheetFormatPr defaultRowHeight="15" x14ac:dyDescent="0.25"/>
  <cols>
    <col min="1" max="1" width="13" customWidth="1"/>
    <col min="2" max="2" width="16.140625" customWidth="1"/>
  </cols>
  <sheetData>
    <row r="1" spans="1:2" x14ac:dyDescent="0.25">
      <c r="A1" s="4" t="s">
        <v>87</v>
      </c>
      <c r="B1" s="5" t="s">
        <v>88</v>
      </c>
    </row>
    <row r="2" spans="1:2" x14ac:dyDescent="0.25">
      <c r="A2" s="6">
        <v>1</v>
      </c>
      <c r="B2" s="7" t="s">
        <v>89</v>
      </c>
    </row>
    <row r="3" spans="1:2" x14ac:dyDescent="0.25">
      <c r="A3" s="8">
        <v>2</v>
      </c>
      <c r="B3" s="9" t="s">
        <v>90</v>
      </c>
    </row>
    <row r="4" spans="1:2" x14ac:dyDescent="0.25">
      <c r="A4" s="6">
        <v>3</v>
      </c>
      <c r="B4" s="7" t="s">
        <v>91</v>
      </c>
    </row>
    <row r="5" spans="1:2" x14ac:dyDescent="0.25">
      <c r="A5" s="8">
        <v>4</v>
      </c>
      <c r="B5" s="9" t="s">
        <v>92</v>
      </c>
    </row>
    <row r="6" spans="1:2" x14ac:dyDescent="0.25">
      <c r="A6" s="2">
        <v>5</v>
      </c>
      <c r="B6" s="3" t="s">
        <v>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90B74-47AB-4D23-B399-17FA8FA8069B}">
  <dimension ref="A1:E12"/>
  <sheetViews>
    <sheetView workbookViewId="0">
      <selection activeCell="E7" sqref="A1:E7"/>
    </sheetView>
  </sheetViews>
  <sheetFormatPr defaultRowHeight="15" x14ac:dyDescent="0.25"/>
  <cols>
    <col min="1" max="1" width="12.28515625" customWidth="1"/>
    <col min="2" max="2" width="15.42578125" customWidth="1"/>
    <col min="3" max="3" width="13" customWidth="1"/>
    <col min="5" max="5" width="18.85546875" customWidth="1"/>
  </cols>
  <sheetData>
    <row r="1" spans="1:5" x14ac:dyDescent="0.25">
      <c r="A1" s="14" t="s">
        <v>95</v>
      </c>
      <c r="B1" s="14" t="s">
        <v>106</v>
      </c>
      <c r="C1" s="14" t="s">
        <v>87</v>
      </c>
      <c r="D1" s="15" t="s">
        <v>107</v>
      </c>
      <c r="E1" s="14" t="s">
        <v>88</v>
      </c>
    </row>
    <row r="2" spans="1:5" x14ac:dyDescent="0.25">
      <c r="A2" s="10">
        <v>1</v>
      </c>
      <c r="B2" s="10" t="s">
        <v>108</v>
      </c>
      <c r="C2" s="10">
        <v>1</v>
      </c>
      <c r="D2" s="16">
        <v>1200</v>
      </c>
      <c r="E2" t="str">
        <f>_xlfn.XLOOKUP(C2,categories!A:A, categories!B:B )</f>
        <v>Laptops</v>
      </c>
    </row>
    <row r="3" spans="1:5" x14ac:dyDescent="0.25">
      <c r="A3" s="12">
        <v>2</v>
      </c>
      <c r="B3" s="12" t="s">
        <v>109</v>
      </c>
      <c r="C3" s="12">
        <v>1</v>
      </c>
      <c r="D3" s="17">
        <v>1100</v>
      </c>
      <c r="E3" t="str">
        <f>_xlfn.XLOOKUP(C3,categories!A:A, categories!B:B )</f>
        <v>Laptops</v>
      </c>
    </row>
    <row r="4" spans="1:5" x14ac:dyDescent="0.25">
      <c r="A4" s="10">
        <v>3</v>
      </c>
      <c r="B4" s="10" t="s">
        <v>110</v>
      </c>
      <c r="C4" s="10">
        <v>2</v>
      </c>
      <c r="D4" s="16">
        <v>990</v>
      </c>
      <c r="E4" t="str">
        <f>_xlfn.XLOOKUP(C4,categories!A:A, categories!B:B )</f>
        <v>Smartphones</v>
      </c>
    </row>
    <row r="5" spans="1:5" x14ac:dyDescent="0.25">
      <c r="A5" s="12">
        <v>4</v>
      </c>
      <c r="B5" s="12" t="s">
        <v>111</v>
      </c>
      <c r="C5" s="12">
        <v>2</v>
      </c>
      <c r="D5" s="17">
        <v>950</v>
      </c>
      <c r="E5" t="str">
        <f>_xlfn.XLOOKUP(C5,categories!A:A, categories!B:B )</f>
        <v>Smartphones</v>
      </c>
    </row>
    <row r="6" spans="1:5" x14ac:dyDescent="0.25">
      <c r="A6" s="10">
        <v>9</v>
      </c>
      <c r="B6" s="10" t="s">
        <v>116</v>
      </c>
      <c r="C6" s="10">
        <v>5</v>
      </c>
      <c r="D6" s="16">
        <v>550</v>
      </c>
      <c r="E6" t="str">
        <f>_xlfn.XLOOKUP(C6,categories!A:A, categories!B:B )</f>
        <v>Gaming</v>
      </c>
    </row>
    <row r="7" spans="1:5" x14ac:dyDescent="0.25">
      <c r="A7" s="12">
        <v>10</v>
      </c>
      <c r="B7" s="12" t="s">
        <v>117</v>
      </c>
      <c r="C7" s="12">
        <v>5</v>
      </c>
      <c r="D7" s="17">
        <v>530</v>
      </c>
      <c r="E7" t="str">
        <f>_xlfn.XLOOKUP(C7,categories!A:A, categories!B:B )</f>
        <v>Gaming</v>
      </c>
    </row>
    <row r="8" spans="1:5" hidden="1" x14ac:dyDescent="0.25">
      <c r="A8" s="12">
        <v>8</v>
      </c>
      <c r="B8" s="12" t="s">
        <v>115</v>
      </c>
      <c r="C8" s="12">
        <v>4</v>
      </c>
      <c r="D8" s="17">
        <v>450</v>
      </c>
    </row>
    <row r="9" spans="1:5" hidden="1" x14ac:dyDescent="0.25">
      <c r="A9" s="10">
        <v>7</v>
      </c>
      <c r="B9" s="10" t="s">
        <v>114</v>
      </c>
      <c r="C9" s="10">
        <v>4</v>
      </c>
      <c r="D9" s="16">
        <v>280</v>
      </c>
    </row>
    <row r="10" spans="1:5" hidden="1" x14ac:dyDescent="0.25">
      <c r="A10" s="10">
        <v>5</v>
      </c>
      <c r="B10" s="10" t="s">
        <v>112</v>
      </c>
      <c r="C10" s="10">
        <v>3</v>
      </c>
      <c r="D10" s="16">
        <v>120</v>
      </c>
    </row>
    <row r="11" spans="1:5" hidden="1" x14ac:dyDescent="0.25">
      <c r="A11" s="12">
        <v>6</v>
      </c>
      <c r="B11" s="12" t="s">
        <v>113</v>
      </c>
      <c r="C11" s="12">
        <v>3</v>
      </c>
      <c r="D11" s="17">
        <v>50</v>
      </c>
    </row>
    <row r="12" spans="1:5" x14ac:dyDescent="0.25">
      <c r="D12" s="18"/>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BDD44-045E-41DB-8087-C7C530F67C2E}">
  <dimension ref="A1:K5"/>
  <sheetViews>
    <sheetView workbookViewId="0">
      <selection activeCell="A3" sqref="A3:K5"/>
    </sheetView>
  </sheetViews>
  <sheetFormatPr defaultRowHeight="15" x14ac:dyDescent="0.25"/>
  <cols>
    <col min="1" max="1" width="15.85546875" bestFit="1" customWidth="1"/>
    <col min="2" max="2" width="10.7109375" bestFit="1" customWidth="1"/>
    <col min="3" max="3" width="12.85546875" bestFit="1" customWidth="1"/>
    <col min="4" max="4" width="10.7109375" bestFit="1" customWidth="1"/>
    <col min="5" max="5" width="12.28515625" bestFit="1" customWidth="1"/>
    <col min="6" max="6" width="14.42578125" bestFit="1" customWidth="1"/>
    <col min="7" max="7" width="10.7109375" bestFit="1" customWidth="1"/>
    <col min="8" max="8" width="16.28515625" bestFit="1" customWidth="1"/>
    <col min="9" max="9" width="17" bestFit="1" customWidth="1"/>
    <col min="10" max="10" width="13.5703125" bestFit="1" customWidth="1"/>
    <col min="11" max="11" width="17.7109375" bestFit="1" customWidth="1"/>
  </cols>
  <sheetData>
    <row r="1" spans="1:11" x14ac:dyDescent="0.25">
      <c r="A1" s="24" t="s">
        <v>135</v>
      </c>
    </row>
    <row r="3" spans="1:11" x14ac:dyDescent="0.25">
      <c r="A3" t="s">
        <v>94</v>
      </c>
      <c r="B3" t="s">
        <v>75</v>
      </c>
      <c r="C3" t="s">
        <v>95</v>
      </c>
      <c r="D3" t="s">
        <v>96</v>
      </c>
      <c r="E3" t="s">
        <v>97</v>
      </c>
      <c r="F3" t="s">
        <v>70</v>
      </c>
      <c r="G3" t="s">
        <v>132</v>
      </c>
      <c r="H3" t="s">
        <v>106</v>
      </c>
      <c r="I3" t="s">
        <v>88</v>
      </c>
      <c r="J3" t="s">
        <v>87</v>
      </c>
      <c r="K3" t="s">
        <v>100</v>
      </c>
    </row>
    <row r="4" spans="1:11" x14ac:dyDescent="0.25">
      <c r="A4">
        <v>8</v>
      </c>
      <c r="B4">
        <v>7</v>
      </c>
      <c r="C4">
        <v>2</v>
      </c>
      <c r="D4">
        <v>1</v>
      </c>
      <c r="E4">
        <v>1100</v>
      </c>
      <c r="F4">
        <v>2</v>
      </c>
      <c r="G4">
        <v>1100</v>
      </c>
      <c r="H4" t="s">
        <v>109</v>
      </c>
      <c r="I4" t="s">
        <v>89</v>
      </c>
      <c r="J4">
        <v>1</v>
      </c>
      <c r="K4" t="s">
        <v>103</v>
      </c>
    </row>
    <row r="5" spans="1:11" x14ac:dyDescent="0.25">
      <c r="A5">
        <v>3</v>
      </c>
      <c r="B5">
        <v>2</v>
      </c>
      <c r="C5">
        <v>3</v>
      </c>
      <c r="D5">
        <v>1</v>
      </c>
      <c r="E5">
        <v>999</v>
      </c>
      <c r="F5">
        <v>2</v>
      </c>
      <c r="G5">
        <v>999</v>
      </c>
      <c r="H5" t="s">
        <v>110</v>
      </c>
      <c r="I5" t="s">
        <v>90</v>
      </c>
      <c r="J5">
        <v>2</v>
      </c>
      <c r="K5" t="s">
        <v>103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CAF4E-C6C7-49F4-BBE6-11BCFD40E3B2}">
  <dimension ref="A1:K6"/>
  <sheetViews>
    <sheetView workbookViewId="0">
      <selection activeCell="E4" sqref="E4"/>
    </sheetView>
  </sheetViews>
  <sheetFormatPr defaultRowHeight="15" x14ac:dyDescent="0.25"/>
  <cols>
    <col min="1" max="1" width="15.85546875" bestFit="1" customWidth="1"/>
    <col min="2" max="2" width="10.7109375" bestFit="1" customWidth="1"/>
    <col min="3" max="3" width="12.85546875" bestFit="1" customWidth="1"/>
    <col min="4" max="4" width="10.7109375" bestFit="1" customWidth="1"/>
    <col min="5" max="5" width="12.28515625" bestFit="1" customWidth="1"/>
    <col min="6" max="6" width="14.42578125" bestFit="1" customWidth="1"/>
    <col min="7" max="7" width="10.7109375" bestFit="1" customWidth="1"/>
    <col min="8" max="8" width="20.28515625" bestFit="1" customWidth="1"/>
    <col min="9" max="9" width="17" bestFit="1" customWidth="1"/>
    <col min="10" max="10" width="13.5703125" bestFit="1" customWidth="1"/>
    <col min="11" max="11" width="17.7109375" bestFit="1" customWidth="1"/>
  </cols>
  <sheetData>
    <row r="1" spans="1:11" x14ac:dyDescent="0.25">
      <c r="A1" s="24" t="s">
        <v>136</v>
      </c>
    </row>
    <row r="3" spans="1:11" x14ac:dyDescent="0.25">
      <c r="A3" t="s">
        <v>94</v>
      </c>
      <c r="B3" t="s">
        <v>75</v>
      </c>
      <c r="C3" t="s">
        <v>95</v>
      </c>
      <c r="D3" t="s">
        <v>96</v>
      </c>
      <c r="E3" t="s">
        <v>97</v>
      </c>
      <c r="F3" t="s">
        <v>70</v>
      </c>
      <c r="G3" t="s">
        <v>132</v>
      </c>
      <c r="H3" t="s">
        <v>106</v>
      </c>
      <c r="I3" t="s">
        <v>88</v>
      </c>
      <c r="J3" t="s">
        <v>87</v>
      </c>
      <c r="K3" t="s">
        <v>100</v>
      </c>
    </row>
    <row r="4" spans="1:11" x14ac:dyDescent="0.25">
      <c r="A4">
        <v>1</v>
      </c>
      <c r="B4">
        <v>1</v>
      </c>
      <c r="C4">
        <v>1</v>
      </c>
      <c r="D4">
        <v>1</v>
      </c>
      <c r="E4">
        <v>1200</v>
      </c>
      <c r="F4">
        <v>1</v>
      </c>
      <c r="G4">
        <v>1200</v>
      </c>
      <c r="H4" t="s">
        <v>108</v>
      </c>
      <c r="I4" t="s">
        <v>89</v>
      </c>
      <c r="J4">
        <v>1</v>
      </c>
      <c r="K4" t="s">
        <v>103</v>
      </c>
    </row>
    <row r="5" spans="1:11" x14ac:dyDescent="0.25">
      <c r="A5">
        <v>2</v>
      </c>
      <c r="B5">
        <v>1</v>
      </c>
      <c r="C5">
        <v>5</v>
      </c>
      <c r="D5">
        <v>1</v>
      </c>
      <c r="E5">
        <v>120</v>
      </c>
      <c r="F5">
        <v>1</v>
      </c>
      <c r="G5">
        <v>120</v>
      </c>
      <c r="H5" t="s">
        <v>112</v>
      </c>
      <c r="I5" t="s">
        <v>91</v>
      </c>
      <c r="J5">
        <v>3</v>
      </c>
      <c r="K5" t="s">
        <v>103</v>
      </c>
    </row>
    <row r="6" spans="1:11" x14ac:dyDescent="0.25">
      <c r="A6">
        <v>7</v>
      </c>
      <c r="B6">
        <v>6</v>
      </c>
      <c r="C6">
        <v>6</v>
      </c>
      <c r="D6">
        <v>2</v>
      </c>
      <c r="E6">
        <v>50</v>
      </c>
      <c r="F6">
        <v>1</v>
      </c>
      <c r="G6">
        <v>100</v>
      </c>
      <c r="H6" t="s">
        <v>113</v>
      </c>
      <c r="I6" t="s">
        <v>91</v>
      </c>
      <c r="J6">
        <v>3</v>
      </c>
      <c r="K6" t="s">
        <v>103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D4088-69E0-4128-8579-274640C71208}">
  <dimension ref="A1:K5"/>
  <sheetViews>
    <sheetView workbookViewId="0">
      <selection activeCell="A3" sqref="A3:K5"/>
    </sheetView>
  </sheetViews>
  <sheetFormatPr defaultRowHeight="15" x14ac:dyDescent="0.25"/>
  <cols>
    <col min="1" max="1" width="15.85546875" bestFit="1" customWidth="1"/>
    <col min="2" max="2" width="10.7109375" bestFit="1" customWidth="1"/>
    <col min="3" max="3" width="12.85546875" bestFit="1" customWidth="1"/>
    <col min="4" max="4" width="10.7109375" bestFit="1" customWidth="1"/>
    <col min="5" max="5" width="12.28515625" bestFit="1" customWidth="1"/>
    <col min="6" max="6" width="14.42578125" bestFit="1" customWidth="1"/>
    <col min="7" max="7" width="10.7109375" bestFit="1" customWidth="1"/>
    <col min="8" max="8" width="16.28515625" bestFit="1" customWidth="1"/>
    <col min="9" max="9" width="17" bestFit="1" customWidth="1"/>
    <col min="10" max="10" width="13.5703125" bestFit="1" customWidth="1"/>
    <col min="11" max="11" width="17.7109375" bestFit="1" customWidth="1"/>
  </cols>
  <sheetData>
    <row r="1" spans="1:11" x14ac:dyDescent="0.25">
      <c r="A1" s="24" t="s">
        <v>135</v>
      </c>
    </row>
    <row r="3" spans="1:11" x14ac:dyDescent="0.25">
      <c r="A3" t="s">
        <v>94</v>
      </c>
      <c r="B3" t="s">
        <v>75</v>
      </c>
      <c r="C3" t="s">
        <v>95</v>
      </c>
      <c r="D3" t="s">
        <v>96</v>
      </c>
      <c r="E3" t="s">
        <v>97</v>
      </c>
      <c r="F3" t="s">
        <v>70</v>
      </c>
      <c r="G3" t="s">
        <v>132</v>
      </c>
      <c r="H3" t="s">
        <v>106</v>
      </c>
      <c r="I3" t="s">
        <v>88</v>
      </c>
      <c r="J3" t="s">
        <v>87</v>
      </c>
      <c r="K3" t="s">
        <v>100</v>
      </c>
    </row>
    <row r="4" spans="1:11" x14ac:dyDescent="0.25">
      <c r="A4">
        <v>8</v>
      </c>
      <c r="B4">
        <v>7</v>
      </c>
      <c r="C4">
        <v>2</v>
      </c>
      <c r="D4">
        <v>1</v>
      </c>
      <c r="E4">
        <v>1100</v>
      </c>
      <c r="F4">
        <v>2</v>
      </c>
      <c r="G4">
        <v>1100</v>
      </c>
      <c r="H4" t="s">
        <v>109</v>
      </c>
      <c r="I4" t="s">
        <v>89</v>
      </c>
      <c r="J4">
        <v>1</v>
      </c>
      <c r="K4" t="s">
        <v>103</v>
      </c>
    </row>
    <row r="5" spans="1:11" x14ac:dyDescent="0.25">
      <c r="A5">
        <v>3</v>
      </c>
      <c r="B5">
        <v>2</v>
      </c>
      <c r="C5">
        <v>3</v>
      </c>
      <c r="D5">
        <v>1</v>
      </c>
      <c r="E5">
        <v>999</v>
      </c>
      <c r="F5">
        <v>2</v>
      </c>
      <c r="G5">
        <v>999</v>
      </c>
      <c r="H5" t="s">
        <v>110</v>
      </c>
      <c r="I5" t="s">
        <v>90</v>
      </c>
      <c r="J5">
        <v>2</v>
      </c>
      <c r="K5" t="s">
        <v>103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85F0B-A512-4695-A163-0F934B1A0BB6}">
  <dimension ref="A3:E37"/>
  <sheetViews>
    <sheetView zoomScale="85" zoomScaleNormal="85" workbookViewId="0">
      <selection activeCell="E35" sqref="D30:E37"/>
    </sheetView>
  </sheetViews>
  <sheetFormatPr defaultRowHeight="15" x14ac:dyDescent="0.25"/>
  <cols>
    <col min="1" max="1" width="13.42578125" bestFit="1" customWidth="1"/>
    <col min="2" max="3" width="15.28515625" bestFit="1" customWidth="1"/>
    <col min="4" max="4" width="13.42578125" bestFit="1" customWidth="1"/>
    <col min="5" max="5" width="15.28515625" bestFit="1" customWidth="1"/>
    <col min="7" max="7" width="17.42578125" customWidth="1"/>
    <col min="8" max="8" width="14.140625" customWidth="1"/>
  </cols>
  <sheetData>
    <row r="3" spans="1:5" x14ac:dyDescent="0.25">
      <c r="A3" s="21" t="s">
        <v>130</v>
      </c>
      <c r="B3" t="s">
        <v>133</v>
      </c>
      <c r="D3" s="21" t="s">
        <v>130</v>
      </c>
      <c r="E3" t="s">
        <v>133</v>
      </c>
    </row>
    <row r="4" spans="1:5" x14ac:dyDescent="0.25">
      <c r="A4" s="22">
        <v>1</v>
      </c>
      <c r="B4">
        <v>1420</v>
      </c>
      <c r="D4" s="22">
        <v>2</v>
      </c>
      <c r="E4">
        <v>2099</v>
      </c>
    </row>
    <row r="5" spans="1:5" x14ac:dyDescent="0.25">
      <c r="A5" s="22">
        <v>2</v>
      </c>
      <c r="B5">
        <v>2099</v>
      </c>
      <c r="D5" s="22">
        <v>1</v>
      </c>
      <c r="E5">
        <v>1420</v>
      </c>
    </row>
    <row r="6" spans="1:5" x14ac:dyDescent="0.25">
      <c r="A6" s="22">
        <v>3</v>
      </c>
      <c r="B6">
        <v>560</v>
      </c>
      <c r="D6" s="22">
        <v>4</v>
      </c>
      <c r="E6">
        <v>950</v>
      </c>
    </row>
    <row r="7" spans="1:5" x14ac:dyDescent="0.25">
      <c r="A7" s="22">
        <v>4</v>
      </c>
      <c r="B7">
        <v>950</v>
      </c>
      <c r="D7" s="22">
        <v>3</v>
      </c>
      <c r="E7">
        <v>560</v>
      </c>
    </row>
    <row r="8" spans="1:5" x14ac:dyDescent="0.25">
      <c r="A8" s="22">
        <v>5</v>
      </c>
      <c r="B8">
        <v>550</v>
      </c>
      <c r="D8" s="22">
        <v>5</v>
      </c>
      <c r="E8">
        <v>550</v>
      </c>
    </row>
    <row r="9" spans="1:5" x14ac:dyDescent="0.25">
      <c r="A9" s="22">
        <v>6</v>
      </c>
      <c r="B9">
        <v>530</v>
      </c>
      <c r="D9" s="22">
        <v>6</v>
      </c>
      <c r="E9">
        <v>530</v>
      </c>
    </row>
    <row r="10" spans="1:5" x14ac:dyDescent="0.25">
      <c r="A10" s="22" t="s">
        <v>131</v>
      </c>
      <c r="B10">
        <v>6109</v>
      </c>
      <c r="D10" s="22" t="s">
        <v>131</v>
      </c>
      <c r="E10">
        <v>6109</v>
      </c>
    </row>
    <row r="18" spans="1:5" x14ac:dyDescent="0.25">
      <c r="A18" s="21" t="s">
        <v>130</v>
      </c>
      <c r="B18" t="s">
        <v>133</v>
      </c>
      <c r="D18" s="21" t="s">
        <v>130</v>
      </c>
      <c r="E18" t="s">
        <v>129</v>
      </c>
    </row>
    <row r="19" spans="1:5" x14ac:dyDescent="0.25">
      <c r="A19" s="22">
        <v>2</v>
      </c>
      <c r="B19">
        <v>2099</v>
      </c>
      <c r="D19" s="22">
        <v>1</v>
      </c>
      <c r="E19">
        <v>4</v>
      </c>
    </row>
    <row r="20" spans="1:5" x14ac:dyDescent="0.25">
      <c r="A20" s="22">
        <v>1</v>
      </c>
      <c r="B20">
        <v>1420</v>
      </c>
      <c r="D20" s="22">
        <v>2</v>
      </c>
      <c r="E20">
        <v>2</v>
      </c>
    </row>
    <row r="21" spans="1:5" x14ac:dyDescent="0.25">
      <c r="A21" s="22">
        <v>4</v>
      </c>
      <c r="B21">
        <v>950</v>
      </c>
      <c r="D21" s="22">
        <v>3</v>
      </c>
      <c r="E21">
        <v>2</v>
      </c>
    </row>
    <row r="22" spans="1:5" x14ac:dyDescent="0.25">
      <c r="A22" s="22">
        <v>3</v>
      </c>
      <c r="B22">
        <v>560</v>
      </c>
      <c r="D22" s="22">
        <v>4</v>
      </c>
      <c r="E22">
        <v>1</v>
      </c>
    </row>
    <row r="23" spans="1:5" x14ac:dyDescent="0.25">
      <c r="A23" s="22">
        <v>5</v>
      </c>
      <c r="B23">
        <v>550</v>
      </c>
      <c r="D23" s="22">
        <v>5</v>
      </c>
      <c r="E23">
        <v>1</v>
      </c>
    </row>
    <row r="24" spans="1:5" x14ac:dyDescent="0.25">
      <c r="A24" s="22">
        <v>6</v>
      </c>
      <c r="B24">
        <v>530</v>
      </c>
      <c r="D24" s="22">
        <v>6</v>
      </c>
      <c r="E24">
        <v>1</v>
      </c>
    </row>
    <row r="25" spans="1:5" x14ac:dyDescent="0.25">
      <c r="A25" s="22" t="s">
        <v>131</v>
      </c>
      <c r="B25">
        <v>6109</v>
      </c>
      <c r="D25" s="22" t="s">
        <v>131</v>
      </c>
      <c r="E25">
        <v>11</v>
      </c>
    </row>
    <row r="30" spans="1:5" x14ac:dyDescent="0.25">
      <c r="A30" s="21" t="s">
        <v>130</v>
      </c>
      <c r="B30" t="s">
        <v>133</v>
      </c>
      <c r="D30" s="21" t="s">
        <v>130</v>
      </c>
      <c r="E30" t="s">
        <v>133</v>
      </c>
    </row>
    <row r="31" spans="1:5" x14ac:dyDescent="0.25">
      <c r="A31" s="22">
        <v>2</v>
      </c>
      <c r="B31">
        <v>2099</v>
      </c>
      <c r="D31" s="22">
        <v>2</v>
      </c>
      <c r="E31">
        <v>2099</v>
      </c>
    </row>
    <row r="32" spans="1:5" x14ac:dyDescent="0.25">
      <c r="A32" s="22">
        <v>1</v>
      </c>
      <c r="B32">
        <v>1420</v>
      </c>
      <c r="D32" s="22">
        <v>1</v>
      </c>
      <c r="E32">
        <v>1420</v>
      </c>
    </row>
    <row r="33" spans="1:5" x14ac:dyDescent="0.25">
      <c r="A33" s="22">
        <v>4</v>
      </c>
      <c r="B33">
        <v>950</v>
      </c>
      <c r="D33" s="22">
        <v>4</v>
      </c>
      <c r="E33">
        <v>950</v>
      </c>
    </row>
    <row r="34" spans="1:5" x14ac:dyDescent="0.25">
      <c r="A34" s="22">
        <v>3</v>
      </c>
      <c r="B34">
        <v>560</v>
      </c>
      <c r="D34" s="22">
        <v>3</v>
      </c>
      <c r="E34">
        <v>560</v>
      </c>
    </row>
    <row r="35" spans="1:5" x14ac:dyDescent="0.25">
      <c r="A35" s="22">
        <v>5</v>
      </c>
      <c r="B35">
        <v>550</v>
      </c>
      <c r="D35" s="22">
        <v>5</v>
      </c>
      <c r="E35">
        <v>550</v>
      </c>
    </row>
    <row r="36" spans="1:5" x14ac:dyDescent="0.25">
      <c r="A36" s="22">
        <v>6</v>
      </c>
      <c r="B36">
        <v>530</v>
      </c>
      <c r="D36" s="22">
        <v>6</v>
      </c>
      <c r="E36">
        <v>530</v>
      </c>
    </row>
    <row r="37" spans="1:5" x14ac:dyDescent="0.25">
      <c r="A37" s="22" t="s">
        <v>131</v>
      </c>
      <c r="B37">
        <v>6109</v>
      </c>
      <c r="D37" s="22" t="s">
        <v>131</v>
      </c>
      <c r="E37">
        <v>6109</v>
      </c>
    </row>
  </sheetData>
  <conditionalFormatting sqref="B18">
    <cfRule type="top10" dxfId="44" priority="41" rank="3"/>
    <cfRule type="top10" dxfId="43" priority="42" rank="3"/>
  </conditionalFormatting>
  <conditionalFormatting pivot="1" sqref="B20">
    <cfRule type="top10" dxfId="42" priority="40" rank="3"/>
  </conditionalFormatting>
  <conditionalFormatting sqref="B18">
    <cfRule type="top10" dxfId="41" priority="39" rank="3"/>
  </conditionalFormatting>
  <conditionalFormatting pivot="1" sqref="B19:B24">
    <cfRule type="top10" dxfId="40" priority="38" rank="3"/>
  </conditionalFormatting>
  <conditionalFormatting sqref="B30">
    <cfRule type="top10" dxfId="39" priority="36" rank="3"/>
    <cfRule type="top10" dxfId="38" priority="37" rank="3"/>
  </conditionalFormatting>
  <conditionalFormatting pivot="1" sqref="B32">
    <cfRule type="top10" dxfId="37" priority="35" rank="3"/>
  </conditionalFormatting>
  <conditionalFormatting sqref="B30">
    <cfRule type="top10" dxfId="36" priority="34" rank="3"/>
  </conditionalFormatting>
  <conditionalFormatting pivot="1" sqref="B31:B36">
    <cfRule type="top10" dxfId="35" priority="33" rank="3"/>
  </conditionalFormatting>
  <conditionalFormatting pivot="1" sqref="B31:B36">
    <cfRule type="top10" dxfId="34" priority="32" bottom="1" rank="3"/>
  </conditionalFormatting>
  <conditionalFormatting sqref="E3">
    <cfRule type="top10" dxfId="33" priority="30" rank="3"/>
    <cfRule type="top10" dxfId="32" priority="31" rank="3"/>
  </conditionalFormatting>
  <conditionalFormatting sqref="E3">
    <cfRule type="top10" dxfId="31" priority="28" rank="3"/>
  </conditionalFormatting>
  <conditionalFormatting sqref="E18">
    <cfRule type="top10" dxfId="30" priority="23" rank="3"/>
    <cfRule type="top10" dxfId="29" priority="24" rank="3"/>
  </conditionalFormatting>
  <conditionalFormatting sqref="E18">
    <cfRule type="top10" dxfId="28" priority="21" rank="3"/>
  </conditionalFormatting>
  <conditionalFormatting pivot="1" sqref="E19:E24">
    <cfRule type="dataBar" priority="17">
      <dataBar>
        <cfvo type="min"/>
        <cfvo type="max"/>
        <color rgb="FF638EC6"/>
      </dataBar>
      <extLst>
        <ext xmlns:x14="http://schemas.microsoft.com/office/spreadsheetml/2009/9/main" uri="{B025F937-C7B1-47D3-B67F-A62EFF666E3E}">
          <x14:id>{04CE1EC7-2E97-4898-8792-DF639D132E0D}</x14:id>
        </ext>
      </extLst>
    </cfRule>
  </conditionalFormatting>
  <conditionalFormatting sqref="E30">
    <cfRule type="top10" dxfId="27" priority="8" rank="3"/>
    <cfRule type="top10" dxfId="26" priority="9" rank="3"/>
  </conditionalFormatting>
  <conditionalFormatting sqref="E30">
    <cfRule type="top10" dxfId="25" priority="6" rank="3"/>
  </conditionalFormatting>
  <conditionalFormatting pivot="1" sqref="E31:E36">
    <cfRule type="iconSet" priority="2">
      <iconSet>
        <cfvo type="percent" val="0"/>
        <cfvo type="percent" val="33"/>
        <cfvo type="percent" val="67"/>
      </iconSet>
    </cfRule>
  </conditionalFormatting>
  <conditionalFormatting pivot="1" sqref="E4:E9">
    <cfRule type="colorScale" priority="1">
      <colorScale>
        <cfvo type="min"/>
        <cfvo type="percentile" val="50"/>
        <cfvo type="max"/>
        <color rgb="FFF8696B"/>
        <color rgb="FFFFEB84"/>
        <color rgb="FF63BE7B"/>
      </colorScale>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pivot="1">
          <x14:cfRule type="dataBar" id="{04CE1EC7-2E97-4898-8792-DF639D132E0D}">
            <x14:dataBar minLength="0" maxLength="100" gradient="0">
              <x14:cfvo type="autoMin"/>
              <x14:cfvo type="autoMax"/>
              <x14:negativeFillColor rgb="FFFF0000"/>
              <x14:axisColor rgb="FF000000"/>
            </x14:dataBar>
          </x14:cfRule>
          <xm:sqref>E19:E24</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6F533-9E95-492B-B039-C06A4D2E6D0A}">
  <dimension ref="A1"/>
  <sheetViews>
    <sheetView showGridLines="0" zoomScale="85" zoomScaleNormal="85" workbookViewId="0">
      <selection activeCell="S33" sqref="S33"/>
    </sheetView>
  </sheetViews>
  <sheetFormatPr defaultRowHeight="15" x14ac:dyDescent="0.25"/>
  <cols>
    <col min="1" max="1" width="13.42578125" customWidth="1"/>
    <col min="2" max="2" width="15.28515625" customWidth="1"/>
    <col min="8" max="8" width="9.140625" customWidth="1"/>
  </cols>
  <sheetData/>
  <conditionalFormatting sqref="B1">
    <cfRule type="top10" dxfId="3" priority="5" rank="3"/>
    <cfRule type="top10" dxfId="2" priority="6" rank="3"/>
    <cfRule type="top10" dxfId="1" priority="7" rank="3"/>
  </conditionalFormatting>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77305-FC74-4D10-B12A-F76F15C865FC}">
  <dimension ref="A3:B13"/>
  <sheetViews>
    <sheetView workbookViewId="0">
      <selection activeCell="A3" sqref="A3"/>
    </sheetView>
  </sheetViews>
  <sheetFormatPr defaultRowHeight="15" x14ac:dyDescent="0.25"/>
  <cols>
    <col min="1" max="1" width="20.28515625" bestFit="1" customWidth="1"/>
    <col min="2" max="2" width="15.28515625" bestFit="1" customWidth="1"/>
    <col min="3" max="3" width="9.7109375" bestFit="1" customWidth="1"/>
    <col min="4" max="4" width="15" bestFit="1" customWidth="1"/>
    <col min="5" max="5" width="20.28515625" bestFit="1" customWidth="1"/>
    <col min="6" max="6" width="12.5703125" bestFit="1" customWidth="1"/>
    <col min="7" max="7" width="12.7109375" bestFit="1" customWidth="1"/>
    <col min="8" max="8" width="12.5703125" bestFit="1" customWidth="1"/>
    <col min="9" max="9" width="15.5703125" bestFit="1" customWidth="1"/>
    <col min="10" max="10" width="13.28515625" bestFit="1" customWidth="1"/>
    <col min="11" max="11" width="11.28515625" bestFit="1" customWidth="1"/>
  </cols>
  <sheetData>
    <row r="3" spans="1:2" x14ac:dyDescent="0.25">
      <c r="A3" s="21" t="s">
        <v>130</v>
      </c>
      <c r="B3" t="s">
        <v>133</v>
      </c>
    </row>
    <row r="4" spans="1:2" x14ac:dyDescent="0.25">
      <c r="A4" s="22" t="s">
        <v>113</v>
      </c>
      <c r="B4">
        <v>100</v>
      </c>
    </row>
    <row r="5" spans="1:2" x14ac:dyDescent="0.25">
      <c r="A5" s="22" t="s">
        <v>112</v>
      </c>
      <c r="B5">
        <v>120</v>
      </c>
    </row>
    <row r="6" spans="1:2" x14ac:dyDescent="0.25">
      <c r="A6" s="22" t="s">
        <v>117</v>
      </c>
      <c r="B6">
        <v>530</v>
      </c>
    </row>
    <row r="7" spans="1:2" x14ac:dyDescent="0.25">
      <c r="A7" s="22" t="s">
        <v>116</v>
      </c>
      <c r="B7">
        <v>550</v>
      </c>
    </row>
    <row r="8" spans="1:2" x14ac:dyDescent="0.25">
      <c r="A8" s="22" t="s">
        <v>114</v>
      </c>
      <c r="B8">
        <v>560</v>
      </c>
    </row>
    <row r="9" spans="1:2" x14ac:dyDescent="0.25">
      <c r="A9" s="22" t="s">
        <v>111</v>
      </c>
      <c r="B9">
        <v>950</v>
      </c>
    </row>
    <row r="10" spans="1:2" x14ac:dyDescent="0.25">
      <c r="A10" s="22" t="s">
        <v>110</v>
      </c>
      <c r="B10">
        <v>999</v>
      </c>
    </row>
    <row r="11" spans="1:2" x14ac:dyDescent="0.25">
      <c r="A11" s="22" t="s">
        <v>109</v>
      </c>
      <c r="B11">
        <v>1100</v>
      </c>
    </row>
    <row r="12" spans="1:2" x14ac:dyDescent="0.25">
      <c r="A12" s="22" t="s">
        <v>108</v>
      </c>
      <c r="B12">
        <v>1200</v>
      </c>
    </row>
    <row r="13" spans="1:2" x14ac:dyDescent="0.25">
      <c r="A13" s="22" t="s">
        <v>131</v>
      </c>
      <c r="B13">
        <v>6109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2A8C9-D915-4271-A160-84D175A75CF7}">
  <dimension ref="A3:B9"/>
  <sheetViews>
    <sheetView workbookViewId="0">
      <selection activeCell="A5" sqref="A5"/>
    </sheetView>
  </sheetViews>
  <sheetFormatPr defaultRowHeight="15" x14ac:dyDescent="0.25"/>
  <cols>
    <col min="1" max="1" width="15" bestFit="1" customWidth="1"/>
    <col min="2" max="2" width="15.28515625" bestFit="1" customWidth="1"/>
    <col min="3" max="3" width="25.85546875" bestFit="1" customWidth="1"/>
  </cols>
  <sheetData>
    <row r="3" spans="1:2" x14ac:dyDescent="0.25">
      <c r="A3" s="21" t="s">
        <v>130</v>
      </c>
      <c r="B3" t="s">
        <v>133</v>
      </c>
    </row>
    <row r="4" spans="1:2" x14ac:dyDescent="0.25">
      <c r="A4" s="22" t="s">
        <v>91</v>
      </c>
      <c r="B4">
        <v>220</v>
      </c>
    </row>
    <row r="5" spans="1:2" x14ac:dyDescent="0.25">
      <c r="A5" s="22" t="s">
        <v>93</v>
      </c>
      <c r="B5">
        <v>1080</v>
      </c>
    </row>
    <row r="6" spans="1:2" x14ac:dyDescent="0.25">
      <c r="A6" s="22" t="s">
        <v>89</v>
      </c>
      <c r="B6">
        <v>2300</v>
      </c>
    </row>
    <row r="7" spans="1:2" x14ac:dyDescent="0.25">
      <c r="A7" s="22" t="s">
        <v>92</v>
      </c>
      <c r="B7">
        <v>560</v>
      </c>
    </row>
    <row r="8" spans="1:2" x14ac:dyDescent="0.25">
      <c r="A8" s="22" t="s">
        <v>90</v>
      </c>
      <c r="B8">
        <v>1949</v>
      </c>
    </row>
    <row r="9" spans="1:2" x14ac:dyDescent="0.25">
      <c r="A9" s="22" t="s">
        <v>131</v>
      </c>
      <c r="B9">
        <v>6109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D1E45-F615-4B33-ACD9-214C4121B3F3}">
  <dimension ref="A1:L8"/>
  <sheetViews>
    <sheetView workbookViewId="0">
      <selection activeCell="A3" sqref="A3:L8"/>
    </sheetView>
  </sheetViews>
  <sheetFormatPr defaultRowHeight="15" x14ac:dyDescent="0.25"/>
  <cols>
    <col min="1" max="1" width="15.85546875" bestFit="1" customWidth="1"/>
    <col min="2" max="2" width="10.7109375" bestFit="1" customWidth="1"/>
    <col min="3" max="3" width="12.85546875" bestFit="1" customWidth="1"/>
    <col min="4" max="4" width="10.7109375" bestFit="1" customWidth="1"/>
    <col min="5" max="5" width="12.28515625" bestFit="1" customWidth="1"/>
    <col min="6" max="6" width="14.42578125" bestFit="1" customWidth="1"/>
    <col min="7" max="7" width="10.7109375" bestFit="1" customWidth="1"/>
    <col min="8" max="8" width="20.28515625" bestFit="1" customWidth="1"/>
    <col min="9" max="9" width="17" bestFit="1" customWidth="1"/>
    <col min="10" max="10" width="13.5703125" bestFit="1" customWidth="1"/>
    <col min="11" max="11" width="17.7109375" bestFit="1" customWidth="1"/>
    <col min="12" max="12" width="19.140625" bestFit="1" customWidth="1"/>
  </cols>
  <sheetData>
    <row r="1" spans="1:12" x14ac:dyDescent="0.25">
      <c r="A1" s="24" t="s">
        <v>138</v>
      </c>
    </row>
    <row r="3" spans="1:12" x14ac:dyDescent="0.25">
      <c r="A3" t="s">
        <v>94</v>
      </c>
      <c r="B3" t="s">
        <v>75</v>
      </c>
      <c r="C3" t="s">
        <v>95</v>
      </c>
      <c r="D3" t="s">
        <v>96</v>
      </c>
      <c r="E3" t="s">
        <v>97</v>
      </c>
      <c r="F3" t="s">
        <v>70</v>
      </c>
      <c r="G3" t="s">
        <v>132</v>
      </c>
      <c r="H3" t="s">
        <v>106</v>
      </c>
      <c r="I3" t="s">
        <v>88</v>
      </c>
      <c r="J3" t="s">
        <v>87</v>
      </c>
      <c r="K3" t="s">
        <v>100</v>
      </c>
      <c r="L3" t="s">
        <v>99</v>
      </c>
    </row>
    <row r="4" spans="1:12" x14ac:dyDescent="0.25">
      <c r="A4">
        <v>1</v>
      </c>
      <c r="B4">
        <v>1</v>
      </c>
      <c r="C4">
        <v>1</v>
      </c>
      <c r="D4">
        <v>1</v>
      </c>
      <c r="E4">
        <v>1200</v>
      </c>
      <c r="F4">
        <v>1</v>
      </c>
      <c r="G4">
        <v>1200</v>
      </c>
      <c r="H4" t="s">
        <v>108</v>
      </c>
      <c r="I4" t="s">
        <v>89</v>
      </c>
      <c r="J4">
        <v>1</v>
      </c>
      <c r="K4" t="s">
        <v>103</v>
      </c>
      <c r="L4" t="s">
        <v>102</v>
      </c>
    </row>
    <row r="5" spans="1:12" x14ac:dyDescent="0.25">
      <c r="A5">
        <v>2</v>
      </c>
      <c r="B5">
        <v>1</v>
      </c>
      <c r="C5">
        <v>5</v>
      </c>
      <c r="D5">
        <v>1</v>
      </c>
      <c r="E5">
        <v>120</v>
      </c>
      <c r="F5">
        <v>1</v>
      </c>
      <c r="G5">
        <v>120</v>
      </c>
      <c r="H5" t="s">
        <v>112</v>
      </c>
      <c r="I5" t="s">
        <v>91</v>
      </c>
      <c r="J5">
        <v>3</v>
      </c>
      <c r="K5" t="s">
        <v>103</v>
      </c>
      <c r="L5" t="s">
        <v>102</v>
      </c>
    </row>
    <row r="6" spans="1:12" x14ac:dyDescent="0.25">
      <c r="A6">
        <v>9</v>
      </c>
      <c r="B6">
        <v>8</v>
      </c>
      <c r="C6">
        <v>10</v>
      </c>
      <c r="D6">
        <v>1</v>
      </c>
      <c r="E6">
        <v>530</v>
      </c>
      <c r="F6">
        <v>6</v>
      </c>
      <c r="G6">
        <v>530</v>
      </c>
      <c r="H6" t="s">
        <v>117</v>
      </c>
      <c r="I6" t="s">
        <v>93</v>
      </c>
      <c r="J6">
        <v>5</v>
      </c>
      <c r="K6" t="s">
        <v>103</v>
      </c>
      <c r="L6" t="s">
        <v>102</v>
      </c>
    </row>
    <row r="7" spans="1:12" x14ac:dyDescent="0.25">
      <c r="A7">
        <v>4</v>
      </c>
      <c r="B7">
        <v>3</v>
      </c>
      <c r="C7">
        <v>7</v>
      </c>
      <c r="D7">
        <v>2</v>
      </c>
      <c r="E7">
        <v>280</v>
      </c>
      <c r="F7">
        <v>3</v>
      </c>
      <c r="G7">
        <v>560</v>
      </c>
      <c r="H7" t="s">
        <v>114</v>
      </c>
      <c r="I7" t="s">
        <v>92</v>
      </c>
      <c r="J7">
        <v>4</v>
      </c>
      <c r="K7" t="s">
        <v>103</v>
      </c>
      <c r="L7" t="s">
        <v>102</v>
      </c>
    </row>
    <row r="8" spans="1:12" x14ac:dyDescent="0.25">
      <c r="A8">
        <v>6</v>
      </c>
      <c r="B8">
        <v>5</v>
      </c>
      <c r="C8">
        <v>9</v>
      </c>
      <c r="D8">
        <v>1</v>
      </c>
      <c r="E8">
        <v>550</v>
      </c>
      <c r="F8">
        <v>5</v>
      </c>
      <c r="G8">
        <v>550</v>
      </c>
      <c r="H8" t="s">
        <v>116</v>
      </c>
      <c r="I8" t="s">
        <v>93</v>
      </c>
      <c r="J8">
        <v>5</v>
      </c>
      <c r="K8" t="s">
        <v>80</v>
      </c>
      <c r="L8" t="s">
        <v>102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A8FC3-044D-4E20-89C1-92FE0F35DB11}">
  <dimension ref="A3:B24"/>
  <sheetViews>
    <sheetView tabSelected="1" zoomScaleNormal="100" workbookViewId="0">
      <selection activeCell="A3" sqref="A3"/>
    </sheetView>
  </sheetViews>
  <sheetFormatPr defaultRowHeight="15" x14ac:dyDescent="0.25"/>
  <cols>
    <col min="1" max="1" width="18.7109375" bestFit="1" customWidth="1"/>
    <col min="2" max="2" width="15.28515625" bestFit="1" customWidth="1"/>
  </cols>
  <sheetData>
    <row r="3" spans="1:2" x14ac:dyDescent="0.25">
      <c r="A3" s="21" t="s">
        <v>137</v>
      </c>
      <c r="B3" t="s">
        <v>139</v>
      </c>
    </row>
    <row r="4" spans="1:2" x14ac:dyDescent="0.25">
      <c r="A4" s="22" t="s">
        <v>102</v>
      </c>
      <c r="B4" s="25">
        <v>18</v>
      </c>
    </row>
    <row r="5" spans="1:2" x14ac:dyDescent="0.25">
      <c r="A5" s="22" t="s">
        <v>104</v>
      </c>
      <c r="B5" s="25">
        <v>8</v>
      </c>
    </row>
    <row r="6" spans="1:2" x14ac:dyDescent="0.25">
      <c r="A6" s="22" t="s">
        <v>105</v>
      </c>
      <c r="B6" s="25">
        <v>11</v>
      </c>
    </row>
    <row r="7" spans="1:2" x14ac:dyDescent="0.25">
      <c r="A7" s="22" t="s">
        <v>131</v>
      </c>
      <c r="B7" s="25">
        <v>37</v>
      </c>
    </row>
    <row r="21" spans="1:2" x14ac:dyDescent="0.25">
      <c r="A21" s="21" t="s">
        <v>137</v>
      </c>
      <c r="B21" t="s">
        <v>134</v>
      </c>
    </row>
    <row r="22" spans="1:2" x14ac:dyDescent="0.25">
      <c r="A22" s="22" t="s">
        <v>80</v>
      </c>
      <c r="B22">
        <v>1</v>
      </c>
    </row>
    <row r="23" spans="1:2" x14ac:dyDescent="0.25">
      <c r="A23" s="22" t="s">
        <v>103</v>
      </c>
      <c r="B23">
        <v>8</v>
      </c>
    </row>
    <row r="24" spans="1:2" x14ac:dyDescent="0.25">
      <c r="A24" s="22" t="s">
        <v>131</v>
      </c>
      <c r="B24">
        <v>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91712-F19A-4BE3-8E70-CFEDBBF80F35}">
  <dimension ref="A1:R9"/>
  <sheetViews>
    <sheetView workbookViewId="0">
      <selection activeCell="E26" sqref="E26"/>
    </sheetView>
  </sheetViews>
  <sheetFormatPr defaultRowHeight="15" x14ac:dyDescent="0.25"/>
  <cols>
    <col min="1" max="1" width="10.5703125" customWidth="1"/>
    <col min="2" max="2" width="14.28515625" customWidth="1"/>
    <col min="3" max="3" width="12.85546875" customWidth="1"/>
    <col min="5" max="5" width="10" customWidth="1"/>
    <col min="6" max="6" width="9.140625" customWidth="1"/>
    <col min="8" max="8" width="12" customWidth="1"/>
    <col min="9" max="9" width="11.85546875" customWidth="1"/>
    <col min="10" max="10" width="11.28515625" customWidth="1"/>
    <col min="12" max="12" width="11.28515625" customWidth="1"/>
    <col min="13" max="13" width="11.5703125" customWidth="1"/>
    <col min="14" max="14" width="11.140625" customWidth="1"/>
    <col min="16" max="16" width="13.28515625" customWidth="1"/>
    <col min="17" max="17" width="10.5703125" customWidth="1"/>
    <col min="18" max="18" width="12.42578125" customWidth="1"/>
  </cols>
  <sheetData>
    <row r="1" spans="1:18" x14ac:dyDescent="0.25">
      <c r="A1" s="14" t="s">
        <v>75</v>
      </c>
      <c r="B1" s="14" t="s">
        <v>70</v>
      </c>
      <c r="C1" s="14" t="s">
        <v>76</v>
      </c>
      <c r="D1" s="14" t="s">
        <v>77</v>
      </c>
      <c r="E1" s="14" t="s">
        <v>78</v>
      </c>
      <c r="H1" s="14" t="s">
        <v>71</v>
      </c>
      <c r="I1" s="14" t="s">
        <v>72</v>
      </c>
      <c r="J1" s="14" t="s">
        <v>73</v>
      </c>
      <c r="L1" s="14" t="s">
        <v>71</v>
      </c>
      <c r="M1" s="14" t="s">
        <v>72</v>
      </c>
      <c r="N1" s="14" t="s">
        <v>73</v>
      </c>
      <c r="P1" s="14" t="s">
        <v>71</v>
      </c>
      <c r="Q1" s="14" t="s">
        <v>72</v>
      </c>
      <c r="R1" s="14" t="s">
        <v>73</v>
      </c>
    </row>
    <row r="2" spans="1:18" x14ac:dyDescent="0.25">
      <c r="A2" s="10">
        <v>6</v>
      </c>
      <c r="B2" s="10">
        <v>1</v>
      </c>
      <c r="C2" s="11">
        <v>45379</v>
      </c>
      <c r="D2" s="10" t="s">
        <v>79</v>
      </c>
      <c r="E2" s="10">
        <v>0</v>
      </c>
      <c r="H2" t="str">
        <f>_xlfn.XLOOKUP(B2,tbl_customers[customer_id],tbl_customers[first_name])</f>
        <v>John</v>
      </c>
      <c r="I2" t="str">
        <f>_xlfn.XLOOKUP(B2,tbl_customers[customer_id],tbl_customers[last_name])</f>
        <v>Smith</v>
      </c>
      <c r="J2" t="str">
        <f>_xlfn.XLOOKUP(B2,tbl_customers[customer_id],tbl_customers[city])</f>
        <v>New York</v>
      </c>
      <c r="L2" t="str">
        <f>VLOOKUP(B2,Customers!A:D,2,FALSE)</f>
        <v>John</v>
      </c>
      <c r="M2" t="str">
        <f>VLOOKUP(B2,Customers!A:D,3,FALSE)</f>
        <v>Smith</v>
      </c>
      <c r="N2" t="str">
        <f>VLOOKUP(B2,Customers!A:D,4,FALSE)</f>
        <v>New York</v>
      </c>
      <c r="P2" t="str">
        <f>INDEX(Customers!B:B,MATCH(B2,Customers!A:A,0))</f>
        <v>John</v>
      </c>
      <c r="Q2" t="str">
        <f>INDEX(Customers!C:C,MATCH(B2,Customers!A:A,0))</f>
        <v>Smith</v>
      </c>
      <c r="R2" t="str">
        <f>INDEX(Customers!D:D,MATCH(B2,Customers!A:A,0))</f>
        <v>New York</v>
      </c>
    </row>
    <row r="3" spans="1:18" x14ac:dyDescent="0.25">
      <c r="A3" s="12">
        <v>7</v>
      </c>
      <c r="B3" s="12">
        <v>2</v>
      </c>
      <c r="C3" s="13">
        <v>45392</v>
      </c>
      <c r="D3" s="12" t="s">
        <v>80</v>
      </c>
      <c r="E3" s="12">
        <v>0</v>
      </c>
      <c r="H3" t="str">
        <f>_xlfn.XLOOKUP(B3,tbl_customers[customer_id],tbl_customers[first_name])</f>
        <v>Emma</v>
      </c>
      <c r="I3" t="str">
        <f>_xlfn.XLOOKUP(B3,tbl_customers[customer_id],tbl_customers[last_name])</f>
        <v>Johnson</v>
      </c>
      <c r="J3" t="str">
        <f>_xlfn.XLOOKUP(B3,tbl_customers[customer_id],tbl_customers[city])</f>
        <v>Chicago</v>
      </c>
      <c r="L3" t="str">
        <f>VLOOKUP(B3,Customers!A:D,2,FALSE)</f>
        <v>Emma</v>
      </c>
      <c r="M3" t="str">
        <f>VLOOKUP(B3,Customers!A:D,3,FALSE)</f>
        <v>Johnson</v>
      </c>
      <c r="N3" t="str">
        <f>VLOOKUP(B3,Customers!A:D,4,FALSE)</f>
        <v>Chicago</v>
      </c>
      <c r="P3" t="str">
        <f>INDEX(Customers!B:B,MATCH(B3,Customers!A:A,0))</f>
        <v>Emma</v>
      </c>
      <c r="Q3" t="str">
        <f>INDEX(Customers!C:C,MATCH(B3,Customers!A:A,0))</f>
        <v>Johnson</v>
      </c>
      <c r="R3" t="str">
        <f>INDEX(Customers!D:D,MATCH(B3,Customers!A:A,0))</f>
        <v>Chicago</v>
      </c>
    </row>
    <row r="4" spans="1:18" x14ac:dyDescent="0.25">
      <c r="A4" s="10">
        <v>8</v>
      </c>
      <c r="B4" s="10">
        <v>6</v>
      </c>
      <c r="C4" s="11">
        <v>45411</v>
      </c>
      <c r="D4" s="10" t="s">
        <v>79</v>
      </c>
      <c r="E4" s="10">
        <v>0</v>
      </c>
      <c r="H4" t="str">
        <f>_xlfn.XLOOKUP(B4,tbl_customers[customer_id],tbl_customers[first_name])</f>
        <v>Olivia</v>
      </c>
      <c r="I4" t="str">
        <f>_xlfn.XLOOKUP(B4,tbl_customers[customer_id],tbl_customers[last_name])</f>
        <v>Wilson</v>
      </c>
      <c r="J4" t="str">
        <f>_xlfn.XLOOKUP(B4,tbl_customers[customer_id],tbl_customers[city])</f>
        <v>Dallas</v>
      </c>
      <c r="L4" t="str">
        <f>VLOOKUP(B4,Customers!A:D,2,FALSE)</f>
        <v>Olivia</v>
      </c>
      <c r="M4" t="str">
        <f>VLOOKUP(B4,Customers!A:D,3,FALSE)</f>
        <v>Wilson</v>
      </c>
      <c r="N4" t="str">
        <f>VLOOKUP(B4,Customers!A:D,4,FALSE)</f>
        <v>Dallas</v>
      </c>
      <c r="P4" t="str">
        <f>INDEX(Customers!B:B,MATCH(B4,Customers!A:A,0))</f>
        <v>Olivia</v>
      </c>
      <c r="Q4" t="str">
        <f>INDEX(Customers!C:C,MATCH(B4,Customers!A:A,0))</f>
        <v>Wilson</v>
      </c>
      <c r="R4" t="str">
        <f>INDEX(Customers!D:D,MATCH(B4,Customers!A:A,0))</f>
        <v>Dallas</v>
      </c>
    </row>
    <row r="5" spans="1:18" x14ac:dyDescent="0.25">
      <c r="A5" s="12">
        <v>1</v>
      </c>
      <c r="B5" s="12">
        <v>1</v>
      </c>
      <c r="C5" s="13">
        <v>45296</v>
      </c>
      <c r="D5" s="12" t="s">
        <v>79</v>
      </c>
      <c r="E5" s="12" t="s">
        <v>81</v>
      </c>
      <c r="H5" t="str">
        <f>_xlfn.XLOOKUP(B5,tbl_customers[customer_id],tbl_customers[first_name])</f>
        <v>John</v>
      </c>
      <c r="I5" t="str">
        <f>_xlfn.XLOOKUP(B5,tbl_customers[customer_id],tbl_customers[last_name])</f>
        <v>Smith</v>
      </c>
      <c r="J5" t="str">
        <f>_xlfn.XLOOKUP(B5,tbl_customers[customer_id],tbl_customers[city])</f>
        <v>New York</v>
      </c>
      <c r="L5" t="str">
        <f>VLOOKUP(B5,Customers!A:D,2,FALSE)</f>
        <v>John</v>
      </c>
      <c r="M5" t="str">
        <f>VLOOKUP(B5,Customers!A:D,3,FALSE)</f>
        <v>Smith</v>
      </c>
      <c r="N5" t="str">
        <f>VLOOKUP(B5,Customers!A:D,4,FALSE)</f>
        <v>New York</v>
      </c>
      <c r="P5" t="str">
        <f>INDEX(Customers!B:B,MATCH(B5,Customers!A:A,0))</f>
        <v>John</v>
      </c>
      <c r="Q5" t="str">
        <f>INDEX(Customers!C:C,MATCH(B5,Customers!A:A,0))</f>
        <v>Smith</v>
      </c>
      <c r="R5" t="str">
        <f>INDEX(Customers!D:D,MATCH(B5,Customers!A:A,0))</f>
        <v>New York</v>
      </c>
    </row>
    <row r="6" spans="1:18" x14ac:dyDescent="0.25">
      <c r="A6" s="10">
        <v>2</v>
      </c>
      <c r="B6" s="10">
        <v>2</v>
      </c>
      <c r="C6" s="11">
        <v>45308</v>
      </c>
      <c r="D6" s="10" t="s">
        <v>79</v>
      </c>
      <c r="E6" s="10" t="s">
        <v>82</v>
      </c>
      <c r="H6" t="str">
        <f>_xlfn.XLOOKUP(B6,tbl_customers[customer_id],tbl_customers[first_name])</f>
        <v>Emma</v>
      </c>
      <c r="I6" t="str">
        <f>_xlfn.XLOOKUP(B6,tbl_customers[customer_id],tbl_customers[last_name])</f>
        <v>Johnson</v>
      </c>
      <c r="J6" t="str">
        <f>_xlfn.XLOOKUP(B6,tbl_customers[customer_id],tbl_customers[city])</f>
        <v>Chicago</v>
      </c>
      <c r="L6" t="str">
        <f>VLOOKUP(B6,Customers!A:D,2,FALSE)</f>
        <v>Emma</v>
      </c>
      <c r="M6" t="str">
        <f>VLOOKUP(B6,Customers!A:D,3,FALSE)</f>
        <v>Johnson</v>
      </c>
      <c r="N6" t="str">
        <f>VLOOKUP(B6,Customers!A:D,4,FALSE)</f>
        <v>Chicago</v>
      </c>
      <c r="P6" t="str">
        <f>INDEX(Customers!B:B,MATCH(B6,Customers!A:A,0))</f>
        <v>Emma</v>
      </c>
      <c r="Q6" t="str">
        <f>INDEX(Customers!C:C,MATCH(B6,Customers!A:A,0))</f>
        <v>Johnson</v>
      </c>
      <c r="R6" t="str">
        <f>INDEX(Customers!D:D,MATCH(B6,Customers!A:A,0))</f>
        <v>Chicago</v>
      </c>
    </row>
    <row r="7" spans="1:18" x14ac:dyDescent="0.25">
      <c r="A7" s="12">
        <v>3</v>
      </c>
      <c r="B7" s="12">
        <v>3</v>
      </c>
      <c r="C7" s="13">
        <v>45325</v>
      </c>
      <c r="D7" s="12" t="s">
        <v>79</v>
      </c>
      <c r="E7" s="12" t="s">
        <v>83</v>
      </c>
      <c r="H7" t="str">
        <f>_xlfn.XLOOKUP(B7,tbl_customers[customer_id],tbl_customers[first_name])</f>
        <v>Michael</v>
      </c>
      <c r="I7" t="str">
        <f>_xlfn.XLOOKUP(B7,tbl_customers[customer_id],tbl_customers[last_name])</f>
        <v>Brown</v>
      </c>
      <c r="J7" t="str">
        <f>_xlfn.XLOOKUP(B7,tbl_customers[customer_id],tbl_customers[city])</f>
        <v>Los Angeles</v>
      </c>
      <c r="L7" t="str">
        <f>VLOOKUP(B7,Customers!A:D,2,FALSE)</f>
        <v>Michael</v>
      </c>
      <c r="M7" t="str">
        <f>VLOOKUP(B7,Customers!A:D,3,FALSE)</f>
        <v>Brown</v>
      </c>
      <c r="N7" t="str">
        <f>VLOOKUP(B7,Customers!A:D,4,FALSE)</f>
        <v>Los Angeles</v>
      </c>
      <c r="P7" t="str">
        <f>INDEX(Customers!B:B,MATCH(B7,Customers!A:A,0))</f>
        <v>Michael</v>
      </c>
      <c r="Q7" t="str">
        <f>INDEX(Customers!C:C,MATCH(B7,Customers!A:A,0))</f>
        <v>Brown</v>
      </c>
      <c r="R7" t="str">
        <f>INDEX(Customers!D:D,MATCH(B7,Customers!A:A,0))</f>
        <v>Los Angeles</v>
      </c>
    </row>
    <row r="8" spans="1:18" x14ac:dyDescent="0.25">
      <c r="A8" s="10">
        <v>4</v>
      </c>
      <c r="B8" s="10">
        <v>4</v>
      </c>
      <c r="C8" s="11">
        <v>45347</v>
      </c>
      <c r="D8" s="10" t="s">
        <v>84</v>
      </c>
      <c r="E8" s="10" t="s">
        <v>85</v>
      </c>
      <c r="H8" t="str">
        <f>_xlfn.XLOOKUP(B8,tbl_customers[customer_id],tbl_customers[first_name])</f>
        <v>Sophia</v>
      </c>
      <c r="I8" t="str">
        <f>_xlfn.XLOOKUP(B8,tbl_customers[customer_id],tbl_customers[last_name])</f>
        <v>Davis</v>
      </c>
      <c r="J8" t="str">
        <f>_xlfn.XLOOKUP(B8,tbl_customers[customer_id],tbl_customers[city])</f>
        <v>Houston</v>
      </c>
      <c r="L8" t="str">
        <f>VLOOKUP(B8,Customers!A:D,2,FALSE)</f>
        <v>Sophia</v>
      </c>
      <c r="M8" t="str">
        <f>VLOOKUP(B8,Customers!A:D,3,FALSE)</f>
        <v>Davis</v>
      </c>
      <c r="N8" t="str">
        <f>VLOOKUP(B8,Customers!A:D,4,FALSE)</f>
        <v>Houston</v>
      </c>
      <c r="P8" t="str">
        <f>INDEX(Customers!B:B,MATCH(B8,Customers!A:A,0))</f>
        <v>Sophia</v>
      </c>
      <c r="Q8" t="str">
        <f>INDEX(Customers!C:C,MATCH(B8,Customers!A:A,0))</f>
        <v>Davis</v>
      </c>
      <c r="R8" t="str">
        <f>INDEX(Customers!D:D,MATCH(B8,Customers!A:A,0))</f>
        <v>Houston</v>
      </c>
    </row>
    <row r="9" spans="1:18" x14ac:dyDescent="0.25">
      <c r="A9" s="12">
        <v>5</v>
      </c>
      <c r="B9" s="12">
        <v>5</v>
      </c>
      <c r="C9" s="13">
        <v>45363</v>
      </c>
      <c r="D9" s="12" t="s">
        <v>79</v>
      </c>
      <c r="E9" s="12" t="s">
        <v>86</v>
      </c>
      <c r="H9" t="str">
        <f>_xlfn.XLOOKUP(B9,tbl_customers[customer_id],tbl_customers[first_name])</f>
        <v>Daniel</v>
      </c>
      <c r="I9" t="str">
        <f>_xlfn.XLOOKUP(B9,tbl_customers[customer_id],tbl_customers[last_name])</f>
        <v>Miller</v>
      </c>
      <c r="J9" t="str">
        <f>_xlfn.XLOOKUP(B9,tbl_customers[customer_id],tbl_customers[city])</f>
        <v>Phoenix</v>
      </c>
      <c r="L9" t="str">
        <f>VLOOKUP(B9,Customers!A:D,2,FALSE)</f>
        <v>Daniel</v>
      </c>
      <c r="M9" t="str">
        <f>VLOOKUP(B9,Customers!A:D,3,FALSE)</f>
        <v>Miller</v>
      </c>
      <c r="N9" t="str">
        <f>VLOOKUP(B9,Customers!A:D,4,FALSE)</f>
        <v>Phoenix</v>
      </c>
      <c r="P9" t="str">
        <f>INDEX(Customers!B:B,MATCH(B9,Customers!A:A,0))</f>
        <v>Daniel</v>
      </c>
      <c r="Q9" t="str">
        <f>INDEX(Customers!C:C,MATCH(B9,Customers!A:A,0))</f>
        <v>Miller</v>
      </c>
      <c r="R9" t="str">
        <f>INDEX(Customers!D:D,MATCH(B9,Customers!A:A,0))</f>
        <v>Phoenix</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F1007-BEC2-432D-A92F-2EFB0EE6F026}">
  <dimension ref="A1:AJ23"/>
  <sheetViews>
    <sheetView workbookViewId="0">
      <selection activeCell="H28" sqref="H28"/>
    </sheetView>
  </sheetViews>
  <sheetFormatPr defaultRowHeight="15" x14ac:dyDescent="0.25"/>
  <cols>
    <col min="1" max="1" width="15" customWidth="1"/>
    <col min="2" max="2" width="10.28515625" customWidth="1"/>
    <col min="3" max="3" width="12.28515625" customWidth="1"/>
    <col min="4" max="4" width="9.7109375" customWidth="1"/>
    <col min="5" max="5" width="11.5703125" customWidth="1"/>
    <col min="6" max="6" width="15.42578125" customWidth="1"/>
    <col min="7" max="7" width="16.42578125" customWidth="1"/>
    <col min="8" max="8" width="23.140625" customWidth="1"/>
    <col min="9" max="9" width="15.5703125" customWidth="1"/>
    <col min="10" max="10" width="12.5703125" customWidth="1"/>
    <col min="11" max="11" width="17.5703125" customWidth="1"/>
    <col min="12" max="12" width="20.5703125" customWidth="1"/>
    <col min="13" max="13" width="16.28515625" customWidth="1"/>
    <col min="14" max="14" width="13.5703125" customWidth="1"/>
    <col min="16" max="16" width="21.140625" customWidth="1"/>
    <col min="17" max="17" width="11.5703125" customWidth="1"/>
    <col min="18" max="18" width="15.28515625" customWidth="1"/>
  </cols>
  <sheetData>
    <row r="1" spans="1:13" x14ac:dyDescent="0.25">
      <c r="A1" t="s">
        <v>94</v>
      </c>
      <c r="B1" t="s">
        <v>75</v>
      </c>
      <c r="C1" t="s">
        <v>95</v>
      </c>
      <c r="D1" t="s">
        <v>96</v>
      </c>
      <c r="E1" s="18" t="s">
        <v>97</v>
      </c>
      <c r="F1" t="s">
        <v>70</v>
      </c>
      <c r="G1" t="s">
        <v>132</v>
      </c>
      <c r="H1" t="s">
        <v>106</v>
      </c>
      <c r="I1" t="s">
        <v>88</v>
      </c>
      <c r="J1" t="s">
        <v>87</v>
      </c>
      <c r="K1" t="s">
        <v>100</v>
      </c>
      <c r="L1" t="s">
        <v>99</v>
      </c>
      <c r="M1" t="s">
        <v>76</v>
      </c>
    </row>
    <row r="2" spans="1:13" x14ac:dyDescent="0.25">
      <c r="A2">
        <v>1</v>
      </c>
      <c r="B2">
        <v>1</v>
      </c>
      <c r="C2">
        <v>1</v>
      </c>
      <c r="D2">
        <v>1</v>
      </c>
      <c r="E2" s="18">
        <v>1200</v>
      </c>
      <c r="F2">
        <f>_xlfn.XLOOKUP(B2,Orders!A:A,Orders!B:B)</f>
        <v>1</v>
      </c>
      <c r="G2" s="18">
        <f>D2*E2</f>
        <v>1200</v>
      </c>
      <c r="H2" t="str">
        <f>_xlfn.XLOOKUP(C2,tbl_product[product_id],tbl_product[product_name])</f>
        <v>MacBook Air M3</v>
      </c>
      <c r="I2" t="str">
        <f>_xlfn.XLOOKUP(J2, categories!A:A, categories!B:B)</f>
        <v>Laptops</v>
      </c>
      <c r="J2">
        <f>_xlfn.XLOOKUP(C2,Products!A:A,Products!C:C)</f>
        <v>1</v>
      </c>
      <c r="K2" t="str">
        <f>_xlfn.XLOOKUP(B2,Payments!A:A,Payments!D:D)</f>
        <v>Paid</v>
      </c>
      <c r="L2" t="str">
        <f>_xlfn.XLOOKUP(B2,Payments!A:A,Payments!C:C)</f>
        <v>Card</v>
      </c>
      <c r="M2" s="1">
        <f>_xlfn.XLOOKUP(B2,Orders!A:A,Orders!C:C)</f>
        <v>45296</v>
      </c>
    </row>
    <row r="3" spans="1:13" x14ac:dyDescent="0.25">
      <c r="A3">
        <v>2</v>
      </c>
      <c r="B3">
        <v>1</v>
      </c>
      <c r="C3">
        <v>5</v>
      </c>
      <c r="D3">
        <v>1</v>
      </c>
      <c r="E3" s="18">
        <v>120</v>
      </c>
      <c r="F3">
        <f>_xlfn.XLOOKUP(B3,Orders!A:A,Orders!B:B)</f>
        <v>1</v>
      </c>
      <c r="G3">
        <f>--D3*--E3</f>
        <v>120</v>
      </c>
      <c r="H3" t="str">
        <f>_xlfn.XLOOKUP(C3,tbl_product[product_id],tbl_product[product_name])</f>
        <v>Mechanical Keyboard</v>
      </c>
      <c r="I3" t="str">
        <f>_xlfn.XLOOKUP(J3, categories!A:A, categories!B:B)</f>
        <v>Accessories</v>
      </c>
      <c r="J3">
        <f>_xlfn.XLOOKUP(C3,Products!A:A,Products!C:C)</f>
        <v>3</v>
      </c>
      <c r="K3" t="str">
        <f>_xlfn.XLOOKUP(B3,Payments!A:A,Payments!D:D)</f>
        <v>Paid</v>
      </c>
      <c r="L3" t="str">
        <f>_xlfn.XLOOKUP(B3,Payments!A:A,Payments!C:C)</f>
        <v>Card</v>
      </c>
      <c r="M3" s="1">
        <f>_xlfn.XLOOKUP(B3,Orders!A:A,Orders!C:C)</f>
        <v>45296</v>
      </c>
    </row>
    <row r="4" spans="1:13" x14ac:dyDescent="0.25">
      <c r="A4">
        <v>3</v>
      </c>
      <c r="B4">
        <v>2</v>
      </c>
      <c r="C4">
        <v>3</v>
      </c>
      <c r="D4">
        <v>1</v>
      </c>
      <c r="E4" s="18">
        <v>999</v>
      </c>
      <c r="F4">
        <f>_xlfn.XLOOKUP(B4,Orders!A:A,Orders!B:B)</f>
        <v>2</v>
      </c>
      <c r="G4">
        <f>D4*E4</f>
        <v>999</v>
      </c>
      <c r="H4" t="str">
        <f>_xlfn.XLOOKUP(C4,tbl_product[product_id],tbl_product[product_name])</f>
        <v>iPhone 15</v>
      </c>
      <c r="I4" t="str">
        <f>_xlfn.XLOOKUP(J4, categories!A:A, categories!B:B)</f>
        <v>Smartphones</v>
      </c>
      <c r="J4">
        <f>_xlfn.XLOOKUP(C4,Products!A:A,Products!C:C)</f>
        <v>2</v>
      </c>
      <c r="K4" t="str">
        <f>_xlfn.XLOOKUP(B4,Payments!A:A,Payments!D:D)</f>
        <v>Paid</v>
      </c>
      <c r="L4" t="str">
        <f>_xlfn.XLOOKUP(B4,Payments!A:A,Payments!C:C)</f>
        <v>Cash</v>
      </c>
      <c r="M4" s="1">
        <f>_xlfn.XLOOKUP(B4,Orders!A:A,Orders!C:C)</f>
        <v>45308</v>
      </c>
    </row>
    <row r="5" spans="1:13" x14ac:dyDescent="0.25">
      <c r="A5">
        <v>4</v>
      </c>
      <c r="B5">
        <v>3</v>
      </c>
      <c r="C5">
        <v>7</v>
      </c>
      <c r="D5">
        <v>2</v>
      </c>
      <c r="E5" s="18">
        <v>280</v>
      </c>
      <c r="F5">
        <f>_xlfn.XLOOKUP(B5,Orders!A:A,Orders!B:B)</f>
        <v>3</v>
      </c>
      <c r="G5">
        <f t="shared" ref="G5:G10" si="0">D5*E5</f>
        <v>560</v>
      </c>
      <c r="H5" t="str">
        <f>_xlfn.XLOOKUP(C5,tbl_product[product_id],tbl_product[product_name])</f>
        <v>Dell 27 Monitor</v>
      </c>
      <c r="I5" t="str">
        <f>_xlfn.XLOOKUP(J5, categories!A:A, categories!B:B)</f>
        <v>Monitors</v>
      </c>
      <c r="J5">
        <f>_xlfn.XLOOKUP(C5,Products!A:A,Products!C:C)</f>
        <v>4</v>
      </c>
      <c r="K5" t="str">
        <f>_xlfn.XLOOKUP(B5,Payments!A:A,Payments!D:D)</f>
        <v>Paid</v>
      </c>
      <c r="L5" t="str">
        <f>_xlfn.XLOOKUP(B5,Payments!A:A,Payments!C:C)</f>
        <v>Card</v>
      </c>
      <c r="M5" s="1">
        <f>_xlfn.XLOOKUP(B5,Orders!A:A,Orders!C:C)</f>
        <v>45325</v>
      </c>
    </row>
    <row r="6" spans="1:13" x14ac:dyDescent="0.25">
      <c r="A6">
        <v>5</v>
      </c>
      <c r="B6">
        <v>4</v>
      </c>
      <c r="C6">
        <v>4</v>
      </c>
      <c r="D6">
        <v>1</v>
      </c>
      <c r="E6" s="18">
        <v>950</v>
      </c>
      <c r="F6">
        <f>_xlfn.XLOOKUP(B6,Orders!A:A,Orders!B:B)</f>
        <v>4</v>
      </c>
      <c r="G6">
        <f t="shared" si="0"/>
        <v>950</v>
      </c>
      <c r="H6" t="str">
        <f>_xlfn.XLOOKUP(C6,tbl_product[product_id],tbl_product[product_name])</f>
        <v>Samsung S24</v>
      </c>
      <c r="I6" t="str">
        <f>_xlfn.XLOOKUP(J6, categories!A:A, categories!B:B)</f>
        <v>Smartphones</v>
      </c>
      <c r="J6">
        <f>_xlfn.XLOOKUP(C6,Products!A:A,Products!C:C)</f>
        <v>2</v>
      </c>
      <c r="K6" t="str">
        <f>_xlfn.XLOOKUP(B6,Payments!A:A,Payments!D:D)</f>
        <v>Paid</v>
      </c>
      <c r="L6" t="str">
        <f>_xlfn.XLOOKUP(B6,Payments!A:A,Payments!C:C)</f>
        <v>Transfer</v>
      </c>
      <c r="M6" s="1">
        <f>_xlfn.XLOOKUP(B6,Orders!A:A,Orders!C:C)</f>
        <v>45347</v>
      </c>
    </row>
    <row r="7" spans="1:13" x14ac:dyDescent="0.25">
      <c r="A7">
        <v>6</v>
      </c>
      <c r="B7">
        <v>5</v>
      </c>
      <c r="C7">
        <v>9</v>
      </c>
      <c r="D7">
        <v>1</v>
      </c>
      <c r="E7" s="18">
        <v>550</v>
      </c>
      <c r="F7">
        <f>_xlfn.XLOOKUP(B7,Orders!A:A,Orders!B:B)</f>
        <v>5</v>
      </c>
      <c r="G7">
        <f t="shared" si="0"/>
        <v>550</v>
      </c>
      <c r="H7" t="str">
        <f>_xlfn.XLOOKUP(C7,tbl_product[product_id],tbl_product[product_name])</f>
        <v>PlayStation 5</v>
      </c>
      <c r="I7" t="str">
        <f>_xlfn.XLOOKUP(J7, categories!A:A, categories!B:B)</f>
        <v>Gaming</v>
      </c>
      <c r="J7">
        <f>_xlfn.XLOOKUP(C7,Products!A:A,Products!C:C)</f>
        <v>5</v>
      </c>
      <c r="K7" t="str">
        <f>_xlfn.XLOOKUP(B7,Payments!A:A,Payments!D:D)</f>
        <v>Cancelled</v>
      </c>
      <c r="L7" t="str">
        <f>_xlfn.XLOOKUP(B7,Payments!A:A,Payments!C:C)</f>
        <v>Card</v>
      </c>
      <c r="M7" s="1">
        <f>_xlfn.XLOOKUP(B7,Orders!A:A,Orders!C:C)</f>
        <v>45363</v>
      </c>
    </row>
    <row r="8" spans="1:13" x14ac:dyDescent="0.25">
      <c r="A8">
        <v>7</v>
      </c>
      <c r="B8">
        <v>6</v>
      </c>
      <c r="C8">
        <v>6</v>
      </c>
      <c r="D8">
        <v>2</v>
      </c>
      <c r="E8" s="18">
        <v>50</v>
      </c>
      <c r="F8">
        <f>_xlfn.XLOOKUP(B8,Orders!A:A,Orders!B:B)</f>
        <v>1</v>
      </c>
      <c r="G8">
        <f t="shared" si="0"/>
        <v>100</v>
      </c>
      <c r="H8" t="str">
        <f>_xlfn.XLOOKUP(C8,tbl_product[product_id],tbl_product[product_name])</f>
        <v>Wireless Mouse</v>
      </c>
      <c r="I8" t="str">
        <f>_xlfn.XLOOKUP(J8, categories!A:A, categories!B:B)</f>
        <v>Accessories</v>
      </c>
      <c r="J8">
        <f>_xlfn.XLOOKUP(C8,Products!A:A,Products!C:C)</f>
        <v>3</v>
      </c>
      <c r="K8" t="str">
        <f>_xlfn.XLOOKUP(B8,Payments!A:A,Payments!D:D)</f>
        <v>Paid</v>
      </c>
      <c r="L8" t="str">
        <f>_xlfn.XLOOKUP(B8,Payments!A:A,Payments!C:C)</f>
        <v>Cash</v>
      </c>
      <c r="M8" s="1">
        <f>_xlfn.XLOOKUP(B8,Orders!A:A,Orders!C:C)</f>
        <v>45379</v>
      </c>
    </row>
    <row r="9" spans="1:13" x14ac:dyDescent="0.25">
      <c r="A9">
        <v>8</v>
      </c>
      <c r="B9">
        <v>7</v>
      </c>
      <c r="C9">
        <v>2</v>
      </c>
      <c r="D9">
        <v>1</v>
      </c>
      <c r="E9" s="18">
        <v>1100</v>
      </c>
      <c r="F9">
        <f>_xlfn.XLOOKUP(B9,Orders!A:A,Orders!B:B)</f>
        <v>2</v>
      </c>
      <c r="G9">
        <f t="shared" si="0"/>
        <v>1100</v>
      </c>
      <c r="H9" t="str">
        <f>_xlfn.XLOOKUP(C9,tbl_product[product_id],tbl_product[product_name])</f>
        <v>ThinkPad T14</v>
      </c>
      <c r="I9" t="str">
        <f>_xlfn.XLOOKUP(J9, categories!A:A, categories!B:B)</f>
        <v>Laptops</v>
      </c>
      <c r="J9">
        <f>_xlfn.XLOOKUP(C9,Products!A:A,Products!C:C)</f>
        <v>1</v>
      </c>
      <c r="K9" t="str">
        <f>_xlfn.XLOOKUP(B9,Payments!A:A,Payments!D:D)</f>
        <v>Paid</v>
      </c>
      <c r="L9" t="str">
        <f>_xlfn.XLOOKUP(B9,Payments!A:A,Payments!C:C)</f>
        <v>Transfer</v>
      </c>
      <c r="M9" s="1">
        <f>_xlfn.XLOOKUP(B9,Orders!A:A,Orders!C:C)</f>
        <v>45392</v>
      </c>
    </row>
    <row r="10" spans="1:13" x14ac:dyDescent="0.25">
      <c r="A10">
        <v>9</v>
      </c>
      <c r="B10">
        <v>8</v>
      </c>
      <c r="C10">
        <v>10</v>
      </c>
      <c r="D10">
        <v>1</v>
      </c>
      <c r="E10" s="23">
        <v>530</v>
      </c>
      <c r="F10">
        <f>_xlfn.XLOOKUP(B10,Orders!A:A,Orders!B:B)</f>
        <v>6</v>
      </c>
      <c r="G10">
        <f t="shared" si="0"/>
        <v>530</v>
      </c>
      <c r="H10" t="str">
        <f>_xlfn.XLOOKUP(C10,tbl_product[product_id],tbl_product[product_name])</f>
        <v>Xbox Series X</v>
      </c>
      <c r="I10" t="str">
        <f>_xlfn.XLOOKUP(J10, categories!A:A, categories!B:B)</f>
        <v>Gaming</v>
      </c>
      <c r="J10">
        <f>_xlfn.XLOOKUP(C10,Products!A:A,Products!C:C)</f>
        <v>5</v>
      </c>
      <c r="K10" t="str">
        <f>_xlfn.XLOOKUP(B10,Payments!A:A,Payments!D:D)</f>
        <v>Paid</v>
      </c>
      <c r="L10" t="str">
        <f>_xlfn.XLOOKUP(B10,Payments!A:A,Payments!C:C)</f>
        <v>Card</v>
      </c>
      <c r="M10" s="1">
        <f>_xlfn.XLOOKUP(B10,Orders!A:A,Orders!C:C)</f>
        <v>45411</v>
      </c>
    </row>
    <row r="14" spans="1:13" x14ac:dyDescent="0.25">
      <c r="B14" t="s">
        <v>107</v>
      </c>
      <c r="C14" t="s">
        <v>87</v>
      </c>
      <c r="E14" t="s">
        <v>106</v>
      </c>
      <c r="F14" t="s">
        <v>107</v>
      </c>
      <c r="G14" t="s">
        <v>87</v>
      </c>
      <c r="I14" t="s">
        <v>106</v>
      </c>
      <c r="J14" t="s">
        <v>107</v>
      </c>
      <c r="K14" t="s">
        <v>87</v>
      </c>
    </row>
    <row r="15" spans="1:13" x14ac:dyDescent="0.25">
      <c r="B15">
        <f>_xlfn.XLOOKUP(C2,tbl_product[product_id],tbl_product[price])</f>
        <v>1200</v>
      </c>
      <c r="C15">
        <f>_xlfn.XLOOKUP(C2,tbl_product[product_id],tbl_product[category_id])</f>
        <v>1</v>
      </c>
      <c r="E15" t="str">
        <f>VLOOKUP(C2,Products!A:D,2,FALSE)</f>
        <v>MacBook Air M3</v>
      </c>
      <c r="F15">
        <f>VLOOKUP(C2,Products!A:D,4,FALSE)</f>
        <v>1200</v>
      </c>
      <c r="G15">
        <f>VLOOKUP(C2,Products!A:D,3,FALSE)</f>
        <v>1</v>
      </c>
      <c r="I15" t="str">
        <f>INDEX(Products!B:B,MATCH(C2,Products!A:A,0))</f>
        <v>MacBook Air M3</v>
      </c>
      <c r="J15">
        <f>INDEX(Products!D:D,MATCH(C2,Products!A:A,0))</f>
        <v>1200</v>
      </c>
      <c r="K15">
        <f>INDEX(Products!C:C,MATCH(C2,Products!A:A,0))</f>
        <v>1</v>
      </c>
    </row>
    <row r="16" spans="1:13" x14ac:dyDescent="0.25">
      <c r="B16">
        <f>_xlfn.XLOOKUP(C3,tbl_product[product_id],tbl_product[price])</f>
        <v>120</v>
      </c>
      <c r="C16">
        <f>_xlfn.XLOOKUP(C3,tbl_product[product_id],tbl_product[category_id])</f>
        <v>3</v>
      </c>
      <c r="E16" t="str">
        <f>VLOOKUP(C3,Products!A:D,2,FALSE)</f>
        <v>Mechanical Keyboard</v>
      </c>
      <c r="F16">
        <f>VLOOKUP(C3,Products!A:D,4,FALSE)</f>
        <v>120</v>
      </c>
      <c r="G16">
        <f>VLOOKUP(C3,Products!A:D,3,FALSE)</f>
        <v>3</v>
      </c>
      <c r="I16" t="str">
        <f>INDEX(Products!B:B,MATCH(C3,Products!A:A,0))</f>
        <v>Mechanical Keyboard</v>
      </c>
      <c r="J16">
        <f>INDEX(Products!D:D,MATCH(C3,Products!A:A,0))</f>
        <v>120</v>
      </c>
      <c r="K16">
        <f>INDEX(Products!C:C,MATCH(C3,Products!A:A,0))</f>
        <v>3</v>
      </c>
    </row>
    <row r="17" spans="2:36" x14ac:dyDescent="0.25">
      <c r="B17">
        <f>_xlfn.XLOOKUP(C4,tbl_product[product_id],tbl_product[price])</f>
        <v>990</v>
      </c>
      <c r="C17">
        <f>_xlfn.XLOOKUP(C4,tbl_product[product_id],tbl_product[category_id])</f>
        <v>2</v>
      </c>
      <c r="E17" t="str">
        <f>VLOOKUP(C4,Products!A:D,2,FALSE)</f>
        <v>iPhone 15</v>
      </c>
      <c r="F17">
        <f>VLOOKUP(C4,Products!A:D,4,FALSE)</f>
        <v>990</v>
      </c>
      <c r="G17">
        <f>VLOOKUP(C4,Products!A:D,3,FALSE)</f>
        <v>2</v>
      </c>
      <c r="I17" t="str">
        <f>INDEX(Products!B:B,MATCH(C4,Products!A:A,0))</f>
        <v>iPhone 15</v>
      </c>
      <c r="J17">
        <f>INDEX(Products!D:D,MATCH(C4,Products!A:A,0))</f>
        <v>990</v>
      </c>
      <c r="K17">
        <f>INDEX(Products!C:C,MATCH(C4,Products!A:A,0))</f>
        <v>2</v>
      </c>
    </row>
    <row r="18" spans="2:36" x14ac:dyDescent="0.25">
      <c r="B18">
        <f>_xlfn.XLOOKUP(C5,tbl_product[product_id],tbl_product[price])</f>
        <v>280</v>
      </c>
      <c r="C18">
        <f>_xlfn.XLOOKUP(C5,tbl_product[product_id],tbl_product[category_id])</f>
        <v>4</v>
      </c>
      <c r="E18" t="str">
        <f>VLOOKUP(C5,Products!A:D,2,FALSE)</f>
        <v>Dell 27 Monitor</v>
      </c>
      <c r="F18">
        <f>VLOOKUP(C5,Products!A:D,4,FALSE)</f>
        <v>280</v>
      </c>
      <c r="G18">
        <f>VLOOKUP(C5,Products!A:D,3,FALSE)</f>
        <v>4</v>
      </c>
      <c r="I18" t="str">
        <f>INDEX(Products!B:B,MATCH(C5,Products!A:A,0))</f>
        <v>Dell 27 Monitor</v>
      </c>
      <c r="J18">
        <f>INDEX(Products!D:D,MATCH(C5,Products!A:A,0))</f>
        <v>280</v>
      </c>
      <c r="K18">
        <f>INDEX(Products!C:C,MATCH(C5,Products!A:A,0))</f>
        <v>4</v>
      </c>
    </row>
    <row r="19" spans="2:36" x14ac:dyDescent="0.25">
      <c r="B19">
        <f>_xlfn.XLOOKUP(C6,tbl_product[product_id],tbl_product[price])</f>
        <v>950</v>
      </c>
      <c r="C19">
        <f>_xlfn.XLOOKUP(C6,tbl_product[product_id],tbl_product[category_id])</f>
        <v>2</v>
      </c>
      <c r="E19" t="str">
        <f>VLOOKUP(C6,Products!A:D,2,FALSE)</f>
        <v>Samsung S24</v>
      </c>
      <c r="F19">
        <f>VLOOKUP(C6,Products!A:D,4,FALSE)</f>
        <v>950</v>
      </c>
      <c r="G19">
        <f>VLOOKUP(C6,Products!A:D,3,FALSE)</f>
        <v>2</v>
      </c>
      <c r="I19" t="str">
        <f>INDEX(Products!B:B,MATCH(C6,Products!A:A,0))</f>
        <v>Samsung S24</v>
      </c>
      <c r="J19">
        <f>INDEX(Products!D:D,MATCH(C6,Products!A:A,0))</f>
        <v>950</v>
      </c>
      <c r="K19">
        <f>INDEX(Products!C:C,MATCH(C6,Products!A:A,0))</f>
        <v>2</v>
      </c>
    </row>
    <row r="20" spans="2:36" x14ac:dyDescent="0.25">
      <c r="B20">
        <f>_xlfn.XLOOKUP(C7,tbl_product[product_id],tbl_product[price])</f>
        <v>550</v>
      </c>
      <c r="C20">
        <f>_xlfn.XLOOKUP(C7,tbl_product[product_id],tbl_product[category_id])</f>
        <v>5</v>
      </c>
      <c r="E20" t="str">
        <f>VLOOKUP(C7,Products!A:D,2,FALSE)</f>
        <v>PlayStation 5</v>
      </c>
      <c r="F20">
        <f>VLOOKUP(C7,Products!A:D,4,FALSE)</f>
        <v>550</v>
      </c>
      <c r="G20">
        <f>VLOOKUP(C7,Products!A:D,3,FALSE)</f>
        <v>5</v>
      </c>
      <c r="I20" t="str">
        <f>INDEX(Products!B:B,MATCH(C7,Products!A:A,0))</f>
        <v>PlayStation 5</v>
      </c>
      <c r="J20">
        <f>INDEX(Products!D:D,MATCH(C7,Products!A:A,0))</f>
        <v>550</v>
      </c>
      <c r="K20">
        <f>INDEX(Products!C:C,MATCH(C7,Products!A:A,0))</f>
        <v>5</v>
      </c>
    </row>
    <row r="21" spans="2:36" x14ac:dyDescent="0.25">
      <c r="B21">
        <f>_xlfn.XLOOKUP(C8,tbl_product[product_id],tbl_product[price])</f>
        <v>50</v>
      </c>
      <c r="C21">
        <f>_xlfn.XLOOKUP(C8,tbl_product[product_id],tbl_product[category_id])</f>
        <v>3</v>
      </c>
      <c r="E21" t="str">
        <f>VLOOKUP(C8,Products!A:D,2,FALSE)</f>
        <v>Wireless Mouse</v>
      </c>
      <c r="F21">
        <f>VLOOKUP(C8,Products!A:D,4,FALSE)</f>
        <v>50</v>
      </c>
      <c r="G21">
        <f>VLOOKUP(C8,Products!A:D,3,FALSE)</f>
        <v>3</v>
      </c>
      <c r="I21" t="str">
        <f>INDEX(Products!B:B,MATCH(C8,Products!A:A,0))</f>
        <v>Wireless Mouse</v>
      </c>
      <c r="J21">
        <f>INDEX(Products!D:D,MATCH(C8,Products!A:A,0))</f>
        <v>50</v>
      </c>
      <c r="K21">
        <f>INDEX(Products!C:C,MATCH(C8,Products!A:A,0))</f>
        <v>3</v>
      </c>
      <c r="AJ21" cm="1">
        <f t="array" aca="1" ref="AJ21" ca="1">W2:AJ21</f>
        <v>0</v>
      </c>
    </row>
    <row r="22" spans="2:36" x14ac:dyDescent="0.25">
      <c r="B22">
        <f>_xlfn.XLOOKUP(C9,tbl_product[product_id],tbl_product[price])</f>
        <v>1100</v>
      </c>
      <c r="C22">
        <f>_xlfn.XLOOKUP(C9,tbl_product[product_id],tbl_product[category_id])</f>
        <v>1</v>
      </c>
      <c r="E22" t="str">
        <f>VLOOKUP(C9,Products!A:D,2,FALSE)</f>
        <v>ThinkPad T14</v>
      </c>
      <c r="F22">
        <f>VLOOKUP(C9,Products!A:D,4,FALSE)</f>
        <v>1100</v>
      </c>
      <c r="G22">
        <f>VLOOKUP(C9,Products!A:D,3,FALSE)</f>
        <v>1</v>
      </c>
      <c r="I22" t="str">
        <f>INDEX(Products!B:B,MATCH(C9,Products!A:A,0))</f>
        <v>ThinkPad T14</v>
      </c>
      <c r="J22">
        <f>INDEX(Products!D:D,MATCH(C9,Products!A:A,0))</f>
        <v>1100</v>
      </c>
      <c r="K22">
        <f>INDEX(Products!C:C,MATCH(C9,Products!A:A,0))</f>
        <v>1</v>
      </c>
    </row>
    <row r="23" spans="2:36" x14ac:dyDescent="0.25">
      <c r="B23">
        <f>_xlfn.XLOOKUP(C10,tbl_product[product_id],tbl_product[price])</f>
        <v>530</v>
      </c>
      <c r="C23">
        <f>_xlfn.XLOOKUP(C10,tbl_product[product_id],tbl_product[category_id])</f>
        <v>5</v>
      </c>
      <c r="E23" t="str">
        <f>VLOOKUP(C10,Products!A:D,2,FALSE)</f>
        <v>Xbox Series X</v>
      </c>
      <c r="F23">
        <f>VLOOKUP(C10,Products!A:D,4,FALSE)</f>
        <v>530</v>
      </c>
      <c r="G23">
        <f>VLOOKUP(C10,Products!A:D,3,FALSE)</f>
        <v>5</v>
      </c>
      <c r="I23" t="str">
        <f>INDEX(Products!B:B,MATCH(C10,Products!A:A,0))</f>
        <v>Xbox Series X</v>
      </c>
      <c r="J23">
        <f>INDEX(Products!D:D,MATCH(C10,Products!A:A,0))</f>
        <v>530</v>
      </c>
      <c r="K23">
        <f>INDEX(Products!C:C,MATCH(C10,Products!A:A,0))</f>
        <v>5</v>
      </c>
    </row>
  </sheetData>
  <phoneticPr fontId="3"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86454-020B-46BA-96FB-07D4B32F2F86}">
  <dimension ref="A1:E9"/>
  <sheetViews>
    <sheetView workbookViewId="0">
      <selection activeCell="C13" sqref="C13"/>
    </sheetView>
  </sheetViews>
  <sheetFormatPr defaultRowHeight="15" x14ac:dyDescent="0.25"/>
  <cols>
    <col min="1" max="1" width="12.7109375" customWidth="1"/>
    <col min="2" max="2" width="10.28515625" customWidth="1"/>
    <col min="3" max="3" width="17.7109375" customWidth="1"/>
    <col min="4" max="4" width="16.42578125" customWidth="1"/>
    <col min="5" max="5" width="15" customWidth="1"/>
  </cols>
  <sheetData>
    <row r="1" spans="1:5" x14ac:dyDescent="0.25">
      <c r="A1" t="s">
        <v>98</v>
      </c>
      <c r="B1" t="s">
        <v>75</v>
      </c>
      <c r="C1" t="s">
        <v>99</v>
      </c>
      <c r="D1" t="s">
        <v>100</v>
      </c>
      <c r="E1" t="s">
        <v>101</v>
      </c>
    </row>
    <row r="2" spans="1:5" x14ac:dyDescent="0.25">
      <c r="A2">
        <v>1</v>
      </c>
      <c r="B2">
        <v>1</v>
      </c>
      <c r="C2" t="s">
        <v>102</v>
      </c>
      <c r="D2" t="s">
        <v>103</v>
      </c>
      <c r="E2" s="1">
        <v>45296</v>
      </c>
    </row>
    <row r="3" spans="1:5" x14ac:dyDescent="0.25">
      <c r="A3">
        <v>2</v>
      </c>
      <c r="B3">
        <v>2</v>
      </c>
      <c r="C3" t="s">
        <v>104</v>
      </c>
      <c r="D3" t="s">
        <v>103</v>
      </c>
      <c r="E3" s="1">
        <v>45303</v>
      </c>
    </row>
    <row r="4" spans="1:5" x14ac:dyDescent="0.25">
      <c r="A4">
        <v>3</v>
      </c>
      <c r="B4">
        <v>3</v>
      </c>
      <c r="C4" t="s">
        <v>102</v>
      </c>
      <c r="D4" t="s">
        <v>103</v>
      </c>
      <c r="E4" s="1">
        <v>45324</v>
      </c>
    </row>
    <row r="5" spans="1:5" x14ac:dyDescent="0.25">
      <c r="A5">
        <v>4</v>
      </c>
      <c r="B5">
        <v>4</v>
      </c>
      <c r="C5" t="s">
        <v>105</v>
      </c>
      <c r="D5" t="s">
        <v>103</v>
      </c>
      <c r="E5" s="1">
        <v>45340</v>
      </c>
    </row>
    <row r="6" spans="1:5" x14ac:dyDescent="0.25">
      <c r="A6">
        <v>5</v>
      </c>
      <c r="B6">
        <v>5</v>
      </c>
      <c r="C6" t="s">
        <v>102</v>
      </c>
      <c r="D6" t="s">
        <v>80</v>
      </c>
      <c r="E6" s="1">
        <v>45361</v>
      </c>
    </row>
    <row r="7" spans="1:5" x14ac:dyDescent="0.25">
      <c r="A7">
        <v>6</v>
      </c>
      <c r="B7">
        <v>6</v>
      </c>
      <c r="C7" t="s">
        <v>104</v>
      </c>
      <c r="D7" t="s">
        <v>103</v>
      </c>
      <c r="E7" s="1">
        <v>45376</v>
      </c>
    </row>
    <row r="8" spans="1:5" x14ac:dyDescent="0.25">
      <c r="A8">
        <v>7</v>
      </c>
      <c r="B8">
        <v>7</v>
      </c>
      <c r="C8" t="s">
        <v>105</v>
      </c>
      <c r="D8" t="s">
        <v>103</v>
      </c>
      <c r="E8" s="1">
        <v>45394</v>
      </c>
    </row>
    <row r="9" spans="1:5" x14ac:dyDescent="0.25">
      <c r="A9">
        <v>8</v>
      </c>
      <c r="B9">
        <v>8</v>
      </c>
      <c r="C9" t="s">
        <v>102</v>
      </c>
      <c r="D9" t="s">
        <v>103</v>
      </c>
      <c r="E9" s="1">
        <v>45410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E5F15-8FF1-4142-BD7B-00B7D5F5396F}">
  <dimension ref="A1:I5"/>
  <sheetViews>
    <sheetView topLeftCell="A3" zoomScale="130" zoomScaleNormal="130" workbookViewId="0">
      <selection activeCell="A10" sqref="A10"/>
    </sheetView>
  </sheetViews>
  <sheetFormatPr defaultRowHeight="15" x14ac:dyDescent="0.25"/>
  <cols>
    <col min="1" max="1" width="9.5703125" customWidth="1"/>
    <col min="5" max="5" width="9.85546875" bestFit="1" customWidth="1"/>
  </cols>
  <sheetData>
    <row r="1" spans="1:9" ht="30" x14ac:dyDescent="0.25">
      <c r="A1" s="19" t="s">
        <v>118</v>
      </c>
      <c r="B1" s="19" t="s">
        <v>119</v>
      </c>
      <c r="C1" s="19" t="s">
        <v>123</v>
      </c>
      <c r="D1" s="19" t="s">
        <v>122</v>
      </c>
      <c r="E1" s="19" t="s">
        <v>124</v>
      </c>
      <c r="F1" s="19" t="s">
        <v>125</v>
      </c>
      <c r="G1" s="19" t="s">
        <v>126</v>
      </c>
      <c r="H1" s="19" t="s">
        <v>127</v>
      </c>
      <c r="I1" s="19" t="s">
        <v>128</v>
      </c>
    </row>
    <row r="2" spans="1:9" x14ac:dyDescent="0.25">
      <c r="A2" s="20" t="s">
        <v>3</v>
      </c>
      <c r="B2" s="20">
        <v>2099</v>
      </c>
      <c r="C2" s="20">
        <f>SUM(B2:B5)</f>
        <v>4699</v>
      </c>
      <c r="D2" s="20">
        <f>AVERAGE(B2:B5)</f>
        <v>1174.75</v>
      </c>
      <c r="E2" s="20">
        <f>MAX(B2:B5)</f>
        <v>2099</v>
      </c>
      <c r="F2" s="20">
        <f>MIN(B2:B5)</f>
        <v>500</v>
      </c>
      <c r="G2" s="20">
        <f>COUNT(B2:B5)</f>
        <v>4</v>
      </c>
      <c r="H2" s="20" t="str">
        <f>IF(B2&gt;1000,"VIP","Regular")</f>
        <v>VIP</v>
      </c>
      <c r="I2" s="20" t="str" cm="1">
        <f t="array" ref="I2">_xlfn.IFS(B2&gt;1500,"Premium",B2&gt;1000,"VIP",TRUE,"Regular")</f>
        <v>Premium</v>
      </c>
    </row>
    <row r="3" spans="1:9" x14ac:dyDescent="0.25">
      <c r="A3" s="20" t="s">
        <v>121</v>
      </c>
      <c r="B3" s="20">
        <v>1200</v>
      </c>
      <c r="C3" s="20"/>
      <c r="D3" s="20"/>
      <c r="E3" s="20"/>
      <c r="F3" s="20"/>
      <c r="G3" s="20"/>
      <c r="H3" s="20" t="str">
        <f>IF(B3&gt;1000,"VIP","Regular")</f>
        <v>VIP</v>
      </c>
      <c r="I3" s="20" t="str" cm="1">
        <f t="array" ref="I3">_xlfn.IFS(B3&gt;1500,"Premium",B3&gt;1000,"VIP",TRUE,"Regular")</f>
        <v>VIP</v>
      </c>
    </row>
    <row r="4" spans="1:9" x14ac:dyDescent="0.25">
      <c r="A4" s="20" t="s">
        <v>120</v>
      </c>
      <c r="B4" s="20">
        <v>900</v>
      </c>
      <c r="C4" s="20"/>
      <c r="D4" s="20"/>
      <c r="E4" s="20"/>
      <c r="F4" s="20"/>
      <c r="G4" s="20"/>
      <c r="H4" s="20" t="str">
        <f>IF(B4&gt;1000,"VIP","Regular")</f>
        <v>Regular</v>
      </c>
      <c r="I4" s="20" t="str" cm="1">
        <f t="array" ref="I4">_xlfn.IFS(B4&gt;1500,"Premium",B4&gt;1000,"VIP",TRUE,"Regular")</f>
        <v>Regular</v>
      </c>
    </row>
    <row r="5" spans="1:9" x14ac:dyDescent="0.25">
      <c r="A5" s="20" t="s">
        <v>0</v>
      </c>
      <c r="B5" s="20">
        <v>500</v>
      </c>
      <c r="C5" s="20"/>
      <c r="D5" s="20"/>
      <c r="E5" s="20"/>
      <c r="F5" s="20"/>
      <c r="G5" s="20"/>
      <c r="H5" s="20" t="str">
        <f>IF(B5&gt;1000,"VIP","Regular")</f>
        <v>Regular</v>
      </c>
      <c r="I5" s="20" t="str" cm="1">
        <f t="array" ref="I5">_xlfn.IFS(B5&gt;1500,"Premium",B5&gt;1000,"VIP",TRUE,"Regular")</f>
        <v>Regular</v>
      </c>
    </row>
  </sheetData>
  <phoneticPr fontId="3" type="noConversion"/>
  <conditionalFormatting sqref="B2:B5">
    <cfRule type="cellIs" dxfId="0" priority="1" operator="greaterThan">
      <formula>1000</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C158A1B-7CA2-46ED-8D89-39BC3040713C}">
  <ds:schemaRefs/>
</ds:datastoreItem>
</file>

<file path=customXml/itemProps2.xml><?xml version="1.0" encoding="utf-8"?>
<ds:datastoreItem xmlns:ds="http://schemas.openxmlformats.org/officeDocument/2006/customXml" ds:itemID="{B678C937-73C9-4C00-9111-E88BCAA91627}">
  <ds:schemaRefs/>
</ds:datastoreItem>
</file>

<file path=customXml/itemProps3.xml><?xml version="1.0" encoding="utf-8"?>
<ds:datastoreItem xmlns:ds="http://schemas.openxmlformats.org/officeDocument/2006/customXml" ds:itemID="{61E5C8C5-D98B-4713-9358-18A6275CFD16}">
  <ds:schemaRefs/>
</ds:datastoreItem>
</file>

<file path=customXml/itemProps4.xml><?xml version="1.0" encoding="utf-8"?>
<ds:datastoreItem xmlns:ds="http://schemas.openxmlformats.org/officeDocument/2006/customXml" ds:itemID="{42FA3243-5FDE-4A7B-8357-468051EAF7FA}">
  <ds:schemaRefs/>
</ds:datastoreItem>
</file>

<file path=customXml/itemProps5.xml><?xml version="1.0" encoding="utf-8"?>
<ds:datastoreItem xmlns:ds="http://schemas.openxmlformats.org/officeDocument/2006/customXml" ds:itemID="{87855ED9-C77C-44B6-8535-15D17E999130}">
  <ds:schemaRefs/>
</ds:datastoreItem>
</file>

<file path=customXml/itemProps6.xml><?xml version="1.0" encoding="utf-8"?>
<ds:datastoreItem xmlns:ds="http://schemas.openxmlformats.org/officeDocument/2006/customXml" ds:itemID="{322C11A8-2A38-4EFA-AC13-7C1354850D8D}">
  <ds:schemaRefs/>
</ds:datastoreItem>
</file>

<file path=customXml/itemProps7.xml><?xml version="1.0" encoding="utf-8"?>
<ds:datastoreItem xmlns:ds="http://schemas.openxmlformats.org/officeDocument/2006/customXml" ds:itemID="{256CCDB4-A3AA-43F7-B7BC-EE70D0AA91BE}">
  <ds:schemaRefs/>
</ds:datastoreItem>
</file>

<file path=customXml/itemProps8.xml><?xml version="1.0" encoding="utf-8"?>
<ds:datastoreItem xmlns:ds="http://schemas.openxmlformats.org/officeDocument/2006/customXml" ds:itemID="{AEFE8875-DA8A-4B58-A8FD-C334ECD0793A}">
  <ds:schemaRefs/>
</ds:datastoreItem>
</file>

<file path=customXml/itemProps9.xml><?xml version="1.0" encoding="utf-8"?>
<ds:datastoreItem xmlns:ds="http://schemas.openxmlformats.org/officeDocument/2006/customXml" ds:itemID="{AEE189D1-5239-41FD-80A5-A05A34AFBD0D}">
  <ds:schemaRefs/>
</ds:datastoreItem>
</file>

<file path=customXml/itemProps10.xml><?xml version="1.0" encoding="utf-8"?>
<ds:datastoreItem xmlns:ds="http://schemas.openxmlformats.org/officeDocument/2006/customXml" ds:itemID="{023990BA-098F-4513-9190-601AC806E787}">
  <ds:schemaRefs/>
</ds:datastoreItem>
</file>

<file path=customXml/itemProps11.xml><?xml version="1.0" encoding="utf-8"?>
<ds:datastoreItem xmlns:ds="http://schemas.openxmlformats.org/officeDocument/2006/customXml" ds:itemID="{691668DB-C555-426E-8AAB-422BEE80F19B}">
  <ds:schemaRefs/>
</ds:datastoreItem>
</file>

<file path=customXml/itemProps12.xml><?xml version="1.0" encoding="utf-8"?>
<ds:datastoreItem xmlns:ds="http://schemas.openxmlformats.org/officeDocument/2006/customXml" ds:itemID="{57F9DDFB-894C-47F5-AAE8-7030FC9BAA2C}">
  <ds:schemaRefs/>
</ds:datastoreItem>
</file>

<file path=customXml/itemProps13.xml><?xml version="1.0" encoding="utf-8"?>
<ds:datastoreItem xmlns:ds="http://schemas.openxmlformats.org/officeDocument/2006/customXml" ds:itemID="{A376F332-5D97-4B7E-8B70-D5EC2AB24F84}">
  <ds:schemaRefs/>
</ds:datastoreItem>
</file>

<file path=customXml/itemProps14.xml><?xml version="1.0" encoding="utf-8"?>
<ds:datastoreItem xmlns:ds="http://schemas.openxmlformats.org/officeDocument/2006/customXml" ds:itemID="{EC957206-CC76-4CB1-83C1-4E73EED5A869}">
  <ds:schemaRefs/>
</ds:datastoreItem>
</file>

<file path=customXml/itemProps15.xml><?xml version="1.0" encoding="utf-8"?>
<ds:datastoreItem xmlns:ds="http://schemas.openxmlformats.org/officeDocument/2006/customXml" ds:itemID="{AEBAF848-63CC-4A41-BA82-A96380EB7AFC}">
  <ds:schemaRefs/>
</ds:datastoreItem>
</file>

<file path=customXml/itemProps16.xml><?xml version="1.0" encoding="utf-8"?>
<ds:datastoreItem xmlns:ds="http://schemas.openxmlformats.org/officeDocument/2006/customXml" ds:itemID="{C69785B7-12C1-4F32-9BE4-49A03642B720}">
  <ds:schemaRefs/>
</ds:datastoreItem>
</file>

<file path=customXml/itemProps17.xml><?xml version="1.0" encoding="utf-8"?>
<ds:datastoreItem xmlns:ds="http://schemas.openxmlformats.org/officeDocument/2006/customXml" ds:itemID="{9F9B4C7C-626A-4A66-8EB5-87707837F05D}">
  <ds:schemaRefs/>
</ds:datastoreItem>
</file>

<file path=customXml/itemProps18.xml><?xml version="1.0" encoding="utf-8"?>
<ds:datastoreItem xmlns:ds="http://schemas.openxmlformats.org/officeDocument/2006/customXml" ds:itemID="{090192CD-0C42-4390-AF6B-9D58B84A1F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vt:i4>
      </vt:variant>
    </vt:vector>
  </HeadingPairs>
  <TitlesOfParts>
    <vt:vector size="19" baseType="lpstr">
      <vt:lpstr>Customers</vt:lpstr>
      <vt:lpstr>categories</vt:lpstr>
      <vt:lpstr>Products</vt:lpstr>
      <vt:lpstr>Detail1</vt:lpstr>
      <vt:lpstr>Detail2</vt:lpstr>
      <vt:lpstr>Detail3</vt:lpstr>
      <vt:lpstr>customer_pivot_practice</vt:lpstr>
      <vt:lpstr>dashboard</vt:lpstr>
      <vt:lpstr>Product_pivot_practice</vt:lpstr>
      <vt:lpstr>category_pivot_practice</vt:lpstr>
      <vt:lpstr>Detail4</vt:lpstr>
      <vt:lpstr>payments_pivot_practice</vt:lpstr>
      <vt:lpstr>Orders</vt:lpstr>
      <vt:lpstr>Order_items</vt:lpstr>
      <vt:lpstr>Payments</vt:lpstr>
      <vt:lpstr>Practice</vt:lpstr>
      <vt:lpstr>tbl_categories</vt:lpstr>
      <vt:lpstr>tbl_orders</vt:lpstr>
      <vt:lpstr>tbl_products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2026-07-03T12:02:43Z</dcterms:created>
  <dcterms:modified xsi:type="dcterms:W3CDTF">2026-07-10T21:52:02Z</dcterms:modified>
</cp:coreProperties>
</file>