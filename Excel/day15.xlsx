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analyst\Excel\"/>
    </mc:Choice>
  </mc:AlternateContent>
  <xr:revisionPtr revIDLastSave="0" documentId="8_{DC75DC86-4CA7-4070-9F68-16B9A3F46D26}" xr6:coauthVersionLast="47" xr6:coauthVersionMax="47" xr10:uidLastSave="{00000000-0000-0000-0000-000000000000}"/>
  <bookViews>
    <workbookView xWindow="-120" yWindow="-120" windowWidth="29040" windowHeight="15720" xr2:uid="{2159DCA7-6F25-4124-8E1B-72A5B3FD8315}"/>
  </bookViews>
  <sheets>
    <sheet name="Customers" sheetId="1" r:id="rId1"/>
    <sheet name="Orders" sheetId="3" r:id="rId2"/>
    <sheet name="categories" sheetId="5" r:id="rId3"/>
    <sheet name="Products" sheetId="2" r:id="rId4"/>
    <sheet name="Order_items" sheetId="6" r:id="rId5"/>
    <sheet name="Payments" sheetId="7" r:id="rId6"/>
    <sheet name="Analysis" sheetId="4" r:id="rId7"/>
  </sheets>
  <definedNames>
    <definedName name="tbl_categories">categories!$A$2:$B$6</definedName>
    <definedName name="tbl_orders">Orders!$A$2:$E$9</definedName>
    <definedName name="tbl_products">Products!$A$2:$D$11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4" l="1" a="1"/>
  <c r="I5" i="4" s="1"/>
  <c r="I4" i="4" a="1"/>
  <c r="I4" i="4" s="1"/>
  <c r="I3" i="4" a="1"/>
  <c r="I3" i="4" s="1"/>
  <c r="G2" i="4"/>
  <c r="F2" i="4"/>
  <c r="E2" i="4"/>
  <c r="D2" i="4"/>
  <c r="C2" i="4"/>
  <c r="I2" i="4" a="1"/>
  <c r="I2" i="4" s="1"/>
  <c r="H5" i="4"/>
  <c r="H4" i="4"/>
  <c r="H3" i="4"/>
  <c r="H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<sst xmlns="http://schemas.openxmlformats.org/spreadsheetml/2006/main" count="209" uniqueCount="138">
  <si>
    <t>John</t>
  </si>
  <si>
    <t>Smith</t>
  </si>
  <si>
    <t>New York</t>
  </si>
  <si>
    <t>Emma</t>
  </si>
  <si>
    <t>Johnson</t>
  </si>
  <si>
    <t>Chicago</t>
  </si>
  <si>
    <t>Michael</t>
  </si>
  <si>
    <t>Brown</t>
  </si>
  <si>
    <t>Los Angeles</t>
  </si>
  <si>
    <t>Sophia</t>
  </si>
  <si>
    <t>Davis</t>
  </si>
  <si>
    <t>Houston</t>
  </si>
  <si>
    <t>Daniel</t>
  </si>
  <si>
    <t>Miller</t>
  </si>
  <si>
    <t>Phoenix</t>
  </si>
  <si>
    <t>Olivia</t>
  </si>
  <si>
    <t>Wilson</t>
  </si>
  <si>
    <t>Dallas</t>
  </si>
  <si>
    <t>James</t>
  </si>
  <si>
    <t>Moore</t>
  </si>
  <si>
    <t>Miami</t>
  </si>
  <si>
    <t>Ava</t>
  </si>
  <si>
    <t>Taylor</t>
  </si>
  <si>
    <t>Seattle</t>
  </si>
  <si>
    <t>William</t>
  </si>
  <si>
    <t>Anderson</t>
  </si>
  <si>
    <t>Boston</t>
  </si>
  <si>
    <t>Isabella</t>
  </si>
  <si>
    <t>Thomas</t>
  </si>
  <si>
    <t>Denver</t>
  </si>
  <si>
    <t>Benjamin</t>
  </si>
  <si>
    <t>Jackson</t>
  </si>
  <si>
    <t>Mia</t>
  </si>
  <si>
    <t>White</t>
  </si>
  <si>
    <t>Lucas</t>
  </si>
  <si>
    <t>Harris</t>
  </si>
  <si>
    <t>Charlotte</t>
  </si>
  <si>
    <t>Martin</t>
  </si>
  <si>
    <t>Henry</t>
  </si>
  <si>
    <t>Thompson</t>
  </si>
  <si>
    <t>Amelia</t>
  </si>
  <si>
    <t>Garcia</t>
  </si>
  <si>
    <t>Alexander</t>
  </si>
  <si>
    <t>Martinez</t>
  </si>
  <si>
    <t>Harper</t>
  </si>
  <si>
    <t>Robinson</t>
  </si>
  <si>
    <t>Ethan</t>
  </si>
  <si>
    <t>Clark</t>
  </si>
  <si>
    <t>Evelyn</t>
  </si>
  <si>
    <t>Rodriguez</t>
  </si>
  <si>
    <t>Jacob</t>
  </si>
  <si>
    <t>Lewis</t>
  </si>
  <si>
    <t>Abigail</t>
  </si>
  <si>
    <t>Lee</t>
  </si>
  <si>
    <t>Logan</t>
  </si>
  <si>
    <t>Walker</t>
  </si>
  <si>
    <t>Emily</t>
  </si>
  <si>
    <t>Hall</t>
  </si>
  <si>
    <t>Sebastian</t>
  </si>
  <si>
    <t>Allen</t>
  </si>
  <si>
    <t>Ella</t>
  </si>
  <si>
    <t>Young</t>
  </si>
  <si>
    <t>Jack</t>
  </si>
  <si>
    <t>King</t>
  </si>
  <si>
    <t>Scarlett</t>
  </si>
  <si>
    <t>Wright</t>
  </si>
  <si>
    <t>Aiden</t>
  </si>
  <si>
    <t>Scott</t>
  </si>
  <si>
    <t>Grace</t>
  </si>
  <si>
    <t>Green</t>
  </si>
  <si>
    <t>customer_id</t>
  </si>
  <si>
    <t>first_name</t>
  </si>
  <si>
    <t>last_name</t>
  </si>
  <si>
    <t>city</t>
  </si>
  <si>
    <t>registration_date</t>
  </si>
  <si>
    <t>order_id</t>
  </si>
  <si>
    <t>order_date</t>
  </si>
  <si>
    <t>status</t>
  </si>
  <si>
    <t>amount</t>
  </si>
  <si>
    <t>Completed</t>
  </si>
  <si>
    <t>Cancelled</t>
  </si>
  <si>
    <t>120.50</t>
  </si>
  <si>
    <t>75.00</t>
  </si>
  <si>
    <t>210.99</t>
  </si>
  <si>
    <t>Pending</t>
  </si>
  <si>
    <t>55.50</t>
  </si>
  <si>
    <t>330.00</t>
  </si>
  <si>
    <t>category_id</t>
  </si>
  <si>
    <t>category_name</t>
  </si>
  <si>
    <t>Laptops</t>
  </si>
  <si>
    <t>Smartphones</t>
  </si>
  <si>
    <t>Accessories</t>
  </si>
  <si>
    <t>Monitors</t>
  </si>
  <si>
    <t>Gaming</t>
  </si>
  <si>
    <t>order_item_id</t>
  </si>
  <si>
    <t>product_id</t>
  </si>
  <si>
    <t>quantity</t>
  </si>
  <si>
    <t>unit_price</t>
  </si>
  <si>
    <t>1200.00</t>
  </si>
  <si>
    <t>120.00</t>
  </si>
  <si>
    <t>999.00</t>
  </si>
  <si>
    <t>280.00</t>
  </si>
  <si>
    <t>950.00</t>
  </si>
  <si>
    <t>550.00</t>
  </si>
  <si>
    <t>50.00</t>
  </si>
  <si>
    <t>1100.00</t>
  </si>
  <si>
    <t>530.00</t>
  </si>
  <si>
    <t>payment_id</t>
  </si>
  <si>
    <t>payment_method</t>
  </si>
  <si>
    <t>payment_status</t>
  </si>
  <si>
    <t>payment_date</t>
  </si>
  <si>
    <t>Card</t>
  </si>
  <si>
    <t>Paid</t>
  </si>
  <si>
    <t>Cash</t>
  </si>
  <si>
    <t>Transfer</t>
  </si>
  <si>
    <t>product_name</t>
  </si>
  <si>
    <t>price</t>
  </si>
  <si>
    <t>MacBook Air M3</t>
  </si>
  <si>
    <t>ThinkPad T14</t>
  </si>
  <si>
    <t>iPhone 15</t>
  </si>
  <si>
    <t>Samsung S24</t>
  </si>
  <si>
    <t>Mechanical Keyboard</t>
  </si>
  <si>
    <t>Wireless Mouse</t>
  </si>
  <si>
    <t>Dell 27 Monitor</t>
  </si>
  <si>
    <t>LG Ultrawide</t>
  </si>
  <si>
    <t>PlayStation 5</t>
  </si>
  <si>
    <t>Xbox Series X</t>
  </si>
  <si>
    <t>Customer</t>
  </si>
  <si>
    <t>Revenue</t>
  </si>
  <si>
    <t>Alex</t>
  </si>
  <si>
    <t>Anna</t>
  </si>
  <si>
    <t>AVG</t>
  </si>
  <si>
    <t>SUM</t>
  </si>
  <si>
    <t>MAX</t>
  </si>
  <si>
    <t>MIN</t>
  </si>
  <si>
    <t>COUNT</t>
  </si>
  <si>
    <t>SEGMENT</t>
  </si>
  <si>
    <t>SEGMENT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</si>
</sst>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1" fillId="2" borderId="6" xfId="0" applyFont="1" applyFill="1" applyBorder="1"/>
    <xf numFmtId="0" fontId="0" fillId="3" borderId="6" xfId="0" applyFont="1" applyFill="1" applyBorder="1"/>
    <xf numFmtId="14" fontId="0" fillId="3" borderId="6" xfId="0" applyNumberFormat="1" applyFont="1" applyFill="1" applyBorder="1"/>
    <xf numFmtId="0" fontId="0" fillId="0" borderId="6" xfId="0" applyFont="1" applyBorder="1"/>
    <xf numFmtId="14" fontId="0" fillId="0" borderId="6" xfId="0" applyNumberFormat="1" applyFont="1" applyBorder="1"/>
    <xf numFmtId="14" fontId="0" fillId="0" borderId="2" xfId="0" applyNumberFormat="1" applyFont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2" fontId="0" fillId="3" borderId="6" xfId="0" applyNumberFormat="1" applyFont="1" applyFill="1" applyBorder="1"/>
    <xf numFmtId="2" fontId="0" fillId="0" borderId="6" xfId="0" applyNumberFormat="1" applyFont="1" applyBorder="1"/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1" indent="0" justifyLastLine="0" shrinkToFit="0" readingOrder="0"/>
    </dxf>
    <dxf>
      <font>
        <color auto="1"/>
      </font>
    </dxf>
    <dxf>
      <font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C3ACB-FF35-4AE1-AAFA-63E0EEE1EB10}" name="tbl_customers" displayName="tbl_customers" ref="A1:E40" totalsRowShown="0">
  <autoFilter ref="A1:E40" xr:uid="{D63C3ACB-FF35-4AE1-AAFA-63E0EEE1EB10}"/>
  <sortState xmlns:xlrd2="http://schemas.microsoft.com/office/spreadsheetml/2017/richdata2" ref="A2:E40">
    <sortCondition descending="1" ref="E1:E40"/>
  </sortState>
  <tableColumns count="5">
    <tableColumn id="1" xr3:uid="{4DDCBA51-4EFD-439C-9298-4005A933B1BA}" name="customer_id"/>
    <tableColumn id="2" xr3:uid="{31027205-E8B6-4DE9-BAEE-27237AFDD2B2}" name="first_name"/>
    <tableColumn id="3" xr3:uid="{B46BD0EC-2954-445C-8AB1-FD07D306C88C}" name="last_name"/>
    <tableColumn id="4" xr3:uid="{168CF27F-EA6B-4FFD-91D6-847DC8D38EEE}" name="city"/>
    <tableColumn id="5" xr3:uid="{5EB5ACA4-E18F-4186-9AD9-85BACE33069E}" name="registration_date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B91C72-50F1-4522-9BFC-64393D6C790F}" name="tbl_product" displayName="tbl_product" ref="A1:D11" totalsRowShown="0" headerRowDxfId="22" dataDxfId="21" tableBorderDxfId="20">
  <autoFilter ref="A1:D11" xr:uid="{C4B91C72-50F1-4522-9BFC-64393D6C790F}">
    <filterColumn colId="3">
      <customFilters>
        <customFilter operator="greaterThan" val="500"/>
      </customFilters>
    </filterColumn>
  </autoFilter>
  <sortState xmlns:xlrd2="http://schemas.microsoft.com/office/spreadsheetml/2017/richdata2" ref="A2:D11">
    <sortCondition descending="1" ref="D1:D11"/>
  </sortState>
  <tableColumns count="4">
    <tableColumn id="1" xr3:uid="{877B6033-23C5-4E07-95E6-A617AE530475}" name="product_id" dataDxfId="19"/>
    <tableColumn id="2" xr3:uid="{0740371E-62EB-4A94-B820-1A4D4F39A087}" name="product_name" dataDxfId="18"/>
    <tableColumn id="3" xr3:uid="{78F412A4-FFF1-4DDF-A5EF-C997FE6DF437}" name="category_id" dataDxfId="17"/>
    <tableColumn id="4" xr3:uid="{CAA2FC7D-DB58-4018-A973-F6201E847F28}" name="price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10CF25-C79B-4B14-BC90-7E950200C5B3}" name="tbl_order_items" displayName="tbl_order_items" ref="A1:E10" totalsRowShown="0">
  <autoFilter ref="A1:E10" xr:uid="{C810CF25-C79B-4B14-BC90-7E950200C5B3}"/>
  <tableColumns count="5">
    <tableColumn id="1" xr3:uid="{A072B75B-2744-450D-A6EC-CE17D4D90DD2}" name="order_item_id"/>
    <tableColumn id="2" xr3:uid="{98CEE4CA-1B53-4871-93F7-CF260B754934}" name="order_id"/>
    <tableColumn id="3" xr3:uid="{1382BB4C-EF64-4113-8694-F4FD2E93BBAA}" name="product_id"/>
    <tableColumn id="4" xr3:uid="{4C7AE0EE-03B0-400B-BBA2-234C13BE3FEE}" name="quantity"/>
    <tableColumn id="5" xr3:uid="{60E594F5-1094-4098-8CDC-A0BBECF69508}" name="unit_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45E2F8-9DD6-400A-B84E-D08DB6AE41D9}" name="tbl_payments" displayName="tbl_payments" ref="A1:E9" totalsRowShown="0">
  <autoFilter ref="A1:E9" xr:uid="{5E45E2F8-9DD6-400A-B84E-D08DB6AE41D9}"/>
  <tableColumns count="5">
    <tableColumn id="1" xr3:uid="{EBFEA37B-1399-4206-9A20-244B7A895A4C}" name="payment_id"/>
    <tableColumn id="2" xr3:uid="{E28903FD-7F7C-4922-8C64-420754DB282C}" name="order_id"/>
    <tableColumn id="3" xr3:uid="{7B9081FF-094C-4A53-A425-74D2CAF20750}" name="payment_method"/>
    <tableColumn id="4" xr3:uid="{A6BD7005-4A7B-4A3A-9FBE-746BC661E337}" name="payment_status"/>
    <tableColumn id="5" xr3:uid="{6A567B63-6BA8-439B-B945-1681445DA43D}" name="payment_date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1E4264-AF61-4FDC-A513-02195349C5F9}" name="tbl_analysis" displayName="tbl_analysis" ref="A1:I5" totalsRowShown="0" headerRowDxfId="15" dataDxfId="14">
  <autoFilter ref="A1:I5" xr:uid="{A81E4264-AF61-4FDC-A513-02195349C5F9}"/>
  <sortState xmlns:xlrd2="http://schemas.microsoft.com/office/spreadsheetml/2017/richdata2" ref="A2:I5">
    <sortCondition descending="1" ref="B1:B5"/>
  </sortState>
  <tableColumns count="9">
    <tableColumn id="1" xr3:uid="{06D632E4-D168-4E85-8DC5-624067BEE3DD}" name="Customer" dataDxfId="13"/>
    <tableColumn id="2" xr3:uid="{DB0FC619-C853-4743-ABC3-7F7A68593EF0}" name="Revenue" dataDxfId="1"/>
    <tableColumn id="3" xr3:uid="{F08AD2FD-BDC9-4B17-BFDB-DCE1A24E15C1}" name="SUM" dataDxfId="12"/>
    <tableColumn id="4" xr3:uid="{0C463496-1B54-41F0-859F-E7D13EF0E315}" name="AVG" dataDxfId="11"/>
    <tableColumn id="5" xr3:uid="{9D6981BA-A2CF-4A7F-BCD5-07EBD2068879}" name="MAX" dataDxfId="10"/>
    <tableColumn id="6" xr3:uid="{F989309A-37C0-426C-A276-3C208D41BCC2}" name="MIN" dataDxfId="9"/>
    <tableColumn id="7" xr3:uid="{861485A9-7006-4413-B280-954CD72B7DA8}" name="COUNT" dataDxfId="8"/>
    <tableColumn id="8" xr3:uid="{70AFB3C9-32B3-4818-9F62-E932BB6412E6}" name="SEGMENT" dataDxfId="7">
      <calculatedColumnFormula>IF(B2&gt;1000,"VIP","Regular")</calculatedColumnFormula>
    </tableColumn>
    <tableColumn id="9" xr3:uid="{082F2BEB-4294-48CB-8179-37E68E8A63E7}" name="SEGMENT 2" dataDxfId="6">
      <calculatedColumnFormula array="1">_xlfn.IFS(B2&gt;1500,"Premium",B2&gt;1000,"VIP",TRUE,"Regular")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D09F-A6F3-4D38-9726-720109F9878B}">
  <dimension ref="A1:E40"/>
  <sheetViews>
    <sheetView tabSelected="1" workbookViewId="0">
      <selection activeCell="G32" sqref="G32"/>
    </sheetView>
  </sheetViews>
  <sheetFormatPr defaultRowHeight="14.25"/>
  <cols>
    <col min="1" max="1" width="13.625" customWidth="1"/>
    <col min="2" max="2" width="12" customWidth="1"/>
    <col min="3" max="3" width="11.625" customWidth="1"/>
    <col min="5" max="5" width="17.875" customWidth="1"/>
    <col min="7" max="7" width="10.5" customWidth="1"/>
  </cols>
  <sheetData>
    <row r="1" spans="1:5">
      <c r="A1" t="s">
        <v>70</v>
      </c>
      <c r="B1" t="s">
        <v>71</v>
      </c>
      <c r="C1" t="s">
        <v>72</v>
      </c>
      <c r="D1" t="s">
        <v>73</v>
      </c>
      <c r="E1" s="1" t="s">
        <v>74</v>
      </c>
    </row>
    <row r="2" spans="1:5">
      <c r="A2">
        <v>39</v>
      </c>
      <c r="B2" t="s">
        <v>24</v>
      </c>
      <c r="C2" t="s">
        <v>25</v>
      </c>
      <c r="D2" t="s">
        <v>5</v>
      </c>
      <c r="E2" s="1">
        <v>45313</v>
      </c>
    </row>
    <row r="3" spans="1:5">
      <c r="A3">
        <v>38</v>
      </c>
      <c r="B3" t="s">
        <v>21</v>
      </c>
      <c r="C3" t="s">
        <v>22</v>
      </c>
      <c r="D3" t="s">
        <v>11</v>
      </c>
      <c r="E3" s="1">
        <v>45311</v>
      </c>
    </row>
    <row r="4" spans="1:5">
      <c r="A4">
        <v>37</v>
      </c>
      <c r="B4" t="s">
        <v>18</v>
      </c>
      <c r="C4" t="s">
        <v>19</v>
      </c>
      <c r="D4" t="s">
        <v>29</v>
      </c>
      <c r="E4" s="1">
        <v>45308</v>
      </c>
    </row>
    <row r="5" spans="1:5">
      <c r="A5">
        <v>36</v>
      </c>
      <c r="B5" t="s">
        <v>15</v>
      </c>
      <c r="C5" t="s">
        <v>16</v>
      </c>
      <c r="D5" t="s">
        <v>20</v>
      </c>
      <c r="E5" s="1">
        <v>45306</v>
      </c>
    </row>
    <row r="6" spans="1:5">
      <c r="A6">
        <v>35</v>
      </c>
      <c r="B6" t="s">
        <v>12</v>
      </c>
      <c r="C6" t="s">
        <v>13</v>
      </c>
      <c r="D6" t="s">
        <v>17</v>
      </c>
      <c r="E6" s="1">
        <v>45305</v>
      </c>
    </row>
    <row r="7" spans="1:5">
      <c r="A7">
        <v>34</v>
      </c>
      <c r="B7" t="s">
        <v>9</v>
      </c>
      <c r="C7" t="s">
        <v>10</v>
      </c>
      <c r="D7" t="s">
        <v>23</v>
      </c>
      <c r="E7" s="1">
        <v>45303</v>
      </c>
    </row>
    <row r="8" spans="1:5">
      <c r="A8">
        <v>33</v>
      </c>
      <c r="B8" t="s">
        <v>6</v>
      </c>
      <c r="C8" t="s">
        <v>7</v>
      </c>
      <c r="D8" t="s">
        <v>26</v>
      </c>
      <c r="E8" s="1">
        <v>45301</v>
      </c>
    </row>
    <row r="9" spans="1:5">
      <c r="A9">
        <v>32</v>
      </c>
      <c r="B9" t="s">
        <v>3</v>
      </c>
      <c r="C9" t="s">
        <v>4</v>
      </c>
      <c r="D9" t="s">
        <v>5</v>
      </c>
      <c r="E9" s="1">
        <v>45298</v>
      </c>
    </row>
    <row r="10" spans="1:5">
      <c r="A10">
        <v>31</v>
      </c>
      <c r="B10" t="s">
        <v>0</v>
      </c>
      <c r="C10" t="s">
        <v>1</v>
      </c>
      <c r="D10" t="s">
        <v>2</v>
      </c>
      <c r="E10" s="1">
        <v>45296</v>
      </c>
    </row>
    <row r="11" spans="1:5">
      <c r="A11">
        <v>30</v>
      </c>
      <c r="B11" t="s">
        <v>68</v>
      </c>
      <c r="C11" t="s">
        <v>69</v>
      </c>
      <c r="D11" t="s">
        <v>29</v>
      </c>
      <c r="E11" s="1">
        <v>45029</v>
      </c>
    </row>
    <row r="12" spans="1:5">
      <c r="A12">
        <v>29</v>
      </c>
      <c r="B12" t="s">
        <v>66</v>
      </c>
      <c r="C12" t="s">
        <v>67</v>
      </c>
      <c r="D12" t="s">
        <v>26</v>
      </c>
      <c r="E12" s="1">
        <v>45026</v>
      </c>
    </row>
    <row r="13" spans="1:5">
      <c r="A13">
        <v>28</v>
      </c>
      <c r="B13" t="s">
        <v>64</v>
      </c>
      <c r="C13" t="s">
        <v>65</v>
      </c>
      <c r="D13" t="s">
        <v>23</v>
      </c>
      <c r="E13" s="1">
        <v>45024</v>
      </c>
    </row>
    <row r="14" spans="1:5">
      <c r="A14">
        <v>27</v>
      </c>
      <c r="B14" t="s">
        <v>62</v>
      </c>
      <c r="C14" t="s">
        <v>63</v>
      </c>
      <c r="D14" t="s">
        <v>20</v>
      </c>
      <c r="E14" s="1">
        <v>45020</v>
      </c>
    </row>
    <row r="15" spans="1:5">
      <c r="A15">
        <v>26</v>
      </c>
      <c r="B15" t="s">
        <v>60</v>
      </c>
      <c r="C15" t="s">
        <v>61</v>
      </c>
      <c r="D15" t="s">
        <v>17</v>
      </c>
      <c r="E15" s="1">
        <v>45017</v>
      </c>
    </row>
    <row r="16" spans="1:5">
      <c r="A16">
        <v>25</v>
      </c>
      <c r="B16" t="s">
        <v>58</v>
      </c>
      <c r="C16" t="s">
        <v>59</v>
      </c>
      <c r="D16" t="s">
        <v>14</v>
      </c>
      <c r="E16" s="1">
        <v>45013</v>
      </c>
    </row>
    <row r="17" spans="1:5">
      <c r="A17">
        <v>24</v>
      </c>
      <c r="B17" t="s">
        <v>56</v>
      </c>
      <c r="C17" t="s">
        <v>57</v>
      </c>
      <c r="D17" t="s">
        <v>11</v>
      </c>
      <c r="E17" s="1">
        <v>45010</v>
      </c>
    </row>
    <row r="18" spans="1:5">
      <c r="A18">
        <v>23</v>
      </c>
      <c r="B18" t="s">
        <v>54</v>
      </c>
      <c r="C18" t="s">
        <v>55</v>
      </c>
      <c r="D18" t="s">
        <v>8</v>
      </c>
      <c r="E18" s="1">
        <v>45007</v>
      </c>
    </row>
    <row r="19" spans="1:5">
      <c r="A19">
        <v>22</v>
      </c>
      <c r="B19" t="s">
        <v>52</v>
      </c>
      <c r="C19" t="s">
        <v>53</v>
      </c>
      <c r="D19" t="s">
        <v>2</v>
      </c>
      <c r="E19" s="1">
        <v>45005</v>
      </c>
    </row>
    <row r="20" spans="1:5">
      <c r="A20">
        <v>21</v>
      </c>
      <c r="B20" t="s">
        <v>50</v>
      </c>
      <c r="C20" t="s">
        <v>51</v>
      </c>
      <c r="D20" t="s">
        <v>5</v>
      </c>
      <c r="E20" s="1">
        <v>45003</v>
      </c>
    </row>
    <row r="21" spans="1:5">
      <c r="A21">
        <v>20</v>
      </c>
      <c r="B21" t="s">
        <v>48</v>
      </c>
      <c r="C21" t="s">
        <v>49</v>
      </c>
      <c r="D21" t="s">
        <v>29</v>
      </c>
      <c r="E21" s="1">
        <v>45000</v>
      </c>
    </row>
    <row r="22" spans="1:5">
      <c r="A22">
        <v>19</v>
      </c>
      <c r="B22" t="s">
        <v>46</v>
      </c>
      <c r="C22" t="s">
        <v>47</v>
      </c>
      <c r="D22" t="s">
        <v>26</v>
      </c>
      <c r="E22" s="1">
        <v>44997</v>
      </c>
    </row>
    <row r="23" spans="1:5">
      <c r="A23">
        <v>18</v>
      </c>
      <c r="B23" t="s">
        <v>44</v>
      </c>
      <c r="C23" t="s">
        <v>45</v>
      </c>
      <c r="D23" t="s">
        <v>23</v>
      </c>
      <c r="E23" s="1">
        <v>44995</v>
      </c>
    </row>
    <row r="24" spans="1:5">
      <c r="A24">
        <v>17</v>
      </c>
      <c r="B24" t="s">
        <v>42</v>
      </c>
      <c r="C24" t="s">
        <v>43</v>
      </c>
      <c r="D24" t="s">
        <v>20</v>
      </c>
      <c r="E24" s="1">
        <v>44992</v>
      </c>
    </row>
    <row r="25" spans="1:5">
      <c r="A25">
        <v>16</v>
      </c>
      <c r="B25" t="s">
        <v>40</v>
      </c>
      <c r="C25" t="s">
        <v>41</v>
      </c>
      <c r="D25" t="s">
        <v>17</v>
      </c>
      <c r="E25" s="1">
        <v>44988</v>
      </c>
    </row>
    <row r="26" spans="1:5">
      <c r="A26">
        <v>15</v>
      </c>
      <c r="B26" t="s">
        <v>38</v>
      </c>
      <c r="C26" t="s">
        <v>39</v>
      </c>
      <c r="D26" t="s">
        <v>14</v>
      </c>
      <c r="E26" s="1">
        <v>44986</v>
      </c>
    </row>
    <row r="27" spans="1:5">
      <c r="A27">
        <v>14</v>
      </c>
      <c r="B27" t="s">
        <v>36</v>
      </c>
      <c r="C27" t="s">
        <v>37</v>
      </c>
      <c r="D27" t="s">
        <v>11</v>
      </c>
      <c r="E27" s="1">
        <v>44982</v>
      </c>
    </row>
    <row r="28" spans="1:5">
      <c r="A28">
        <v>13</v>
      </c>
      <c r="B28" t="s">
        <v>34</v>
      </c>
      <c r="C28" t="s">
        <v>35</v>
      </c>
      <c r="D28" t="s">
        <v>8</v>
      </c>
      <c r="E28" s="1">
        <v>44979</v>
      </c>
    </row>
    <row r="29" spans="1:5">
      <c r="A29">
        <v>12</v>
      </c>
      <c r="B29" t="s">
        <v>32</v>
      </c>
      <c r="C29" t="s">
        <v>33</v>
      </c>
      <c r="D29" t="s">
        <v>2</v>
      </c>
      <c r="E29" s="1">
        <v>44977</v>
      </c>
    </row>
    <row r="30" spans="1:5">
      <c r="A30">
        <v>11</v>
      </c>
      <c r="B30" t="s">
        <v>30</v>
      </c>
      <c r="C30" t="s">
        <v>31</v>
      </c>
      <c r="D30" t="s">
        <v>5</v>
      </c>
      <c r="E30" s="1">
        <v>44975</v>
      </c>
    </row>
    <row r="31" spans="1:5">
      <c r="A31">
        <v>10</v>
      </c>
      <c r="B31" t="s">
        <v>27</v>
      </c>
      <c r="C31" t="s">
        <v>28</v>
      </c>
      <c r="D31" t="s">
        <v>29</v>
      </c>
      <c r="E31" s="1">
        <v>44971</v>
      </c>
    </row>
    <row r="32" spans="1:5">
      <c r="A32">
        <v>9</v>
      </c>
      <c r="B32" t="s">
        <v>24</v>
      </c>
      <c r="C32" t="s">
        <v>25</v>
      </c>
      <c r="D32" t="s">
        <v>26</v>
      </c>
      <c r="E32" s="1">
        <v>44968</v>
      </c>
    </row>
    <row r="33" spans="1:5">
      <c r="A33">
        <v>8</v>
      </c>
      <c r="B33" t="s">
        <v>21</v>
      </c>
      <c r="C33" t="s">
        <v>22</v>
      </c>
      <c r="D33" t="s">
        <v>23</v>
      </c>
      <c r="E33" s="1">
        <v>44964</v>
      </c>
    </row>
    <row r="34" spans="1:5">
      <c r="A34">
        <v>7</v>
      </c>
      <c r="B34" t="s">
        <v>18</v>
      </c>
      <c r="C34" t="s">
        <v>19</v>
      </c>
      <c r="D34" t="s">
        <v>20</v>
      </c>
      <c r="E34" s="1">
        <v>44962</v>
      </c>
    </row>
    <row r="35" spans="1:5">
      <c r="A35">
        <v>6</v>
      </c>
      <c r="B35" t="s">
        <v>15</v>
      </c>
      <c r="C35" t="s">
        <v>16</v>
      </c>
      <c r="D35" t="s">
        <v>17</v>
      </c>
      <c r="E35" s="1">
        <v>44958</v>
      </c>
    </row>
    <row r="36" spans="1:5">
      <c r="A36">
        <v>5</v>
      </c>
      <c r="B36" t="s">
        <v>12</v>
      </c>
      <c r="C36" t="s">
        <v>13</v>
      </c>
      <c r="D36" t="s">
        <v>14</v>
      </c>
      <c r="E36" s="1">
        <v>44954</v>
      </c>
    </row>
    <row r="37" spans="1:5">
      <c r="A37">
        <v>4</v>
      </c>
      <c r="B37" t="s">
        <v>9</v>
      </c>
      <c r="C37" t="s">
        <v>10</v>
      </c>
      <c r="D37" t="s">
        <v>11</v>
      </c>
      <c r="E37" s="1">
        <v>44949</v>
      </c>
    </row>
    <row r="38" spans="1:5">
      <c r="A38">
        <v>3</v>
      </c>
      <c r="B38" t="s">
        <v>6</v>
      </c>
      <c r="C38" t="s">
        <v>7</v>
      </c>
      <c r="D38" t="s">
        <v>8</v>
      </c>
      <c r="E38" s="1">
        <v>44947</v>
      </c>
    </row>
    <row r="39" spans="1:5">
      <c r="A39">
        <v>2</v>
      </c>
      <c r="B39" t="s">
        <v>3</v>
      </c>
      <c r="C39" t="s">
        <v>4</v>
      </c>
      <c r="D39" t="s">
        <v>5</v>
      </c>
      <c r="E39" s="1">
        <v>44944</v>
      </c>
    </row>
    <row r="40" spans="1:5">
      <c r="A40">
        <v>1</v>
      </c>
      <c r="B40" t="s">
        <v>0</v>
      </c>
      <c r="C40" t="s">
        <v>1</v>
      </c>
      <c r="D40" t="s">
        <v>2</v>
      </c>
      <c r="E40" s="1">
        <v>44941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1712-F19A-4BE3-8E70-CFEDBBF80F35}">
  <dimension ref="A1:E9"/>
  <sheetViews>
    <sheetView tabSelected="1" workbookViewId="0">
      <selection activeCell="G32" sqref="G32"/>
    </sheetView>
  </sheetViews>
  <sheetFormatPr defaultRowHeight="14.25"/>
  <cols>
    <col min="1" max="1" width="10.25" customWidth="1"/>
    <col min="2" max="2" width="13.625" customWidth="1"/>
    <col min="3" max="3" width="12.5" customWidth="1"/>
    <col min="5" max="5" width="9.25" customWidth="1"/>
  </cols>
  <sheetData>
    <row r="1" spans="1:5">
      <c r="A1" s="7" t="s">
        <v>75</v>
      </c>
      <c r="B1" s="13" t="s">
        <v>70</v>
      </c>
      <c r="C1" s="13" t="s">
        <v>76</v>
      </c>
      <c r="D1" s="13" t="s">
        <v>77</v>
      </c>
      <c r="E1" s="8" t="s">
        <v>78</v>
      </c>
    </row>
    <row r="2" spans="1:5">
      <c r="A2" s="9">
        <v>6</v>
      </c>
      <c r="B2" s="14">
        <v>1</v>
      </c>
      <c r="C2" s="15">
        <v>45379</v>
      </c>
      <c r="D2" s="14" t="s">
        <v>79</v>
      </c>
      <c r="E2" s="10">
        <v>0</v>
      </c>
    </row>
    <row r="3" spans="1:5">
      <c r="A3" s="11">
        <v>7</v>
      </c>
      <c r="B3" s="16">
        <v>2</v>
      </c>
      <c r="C3" s="17">
        <v>45392</v>
      </c>
      <c r="D3" s="16" t="s">
        <v>80</v>
      </c>
      <c r="E3" s="12">
        <v>0</v>
      </c>
    </row>
    <row r="4" spans="1:5">
      <c r="A4" s="9">
        <v>8</v>
      </c>
      <c r="B4" s="14">
        <v>6</v>
      </c>
      <c r="C4" s="15">
        <v>45411</v>
      </c>
      <c r="D4" s="14" t="s">
        <v>79</v>
      </c>
      <c r="E4" s="10">
        <v>0</v>
      </c>
    </row>
    <row r="5" spans="1:5">
      <c r="A5" s="11">
        <v>1</v>
      </c>
      <c r="B5" s="16">
        <v>1</v>
      </c>
      <c r="C5" s="17">
        <v>45296</v>
      </c>
      <c r="D5" s="16" t="s">
        <v>79</v>
      </c>
      <c r="E5" s="12" t="s">
        <v>81</v>
      </c>
    </row>
    <row r="6" spans="1:5">
      <c r="A6" s="9">
        <v>2</v>
      </c>
      <c r="B6" s="14">
        <v>2</v>
      </c>
      <c r="C6" s="15">
        <v>45308</v>
      </c>
      <c r="D6" s="14" t="s">
        <v>79</v>
      </c>
      <c r="E6" s="10" t="s">
        <v>82</v>
      </c>
    </row>
    <row r="7" spans="1:5">
      <c r="A7" s="11">
        <v>3</v>
      </c>
      <c r="B7" s="16">
        <v>3</v>
      </c>
      <c r="C7" s="17">
        <v>45325</v>
      </c>
      <c r="D7" s="16" t="s">
        <v>79</v>
      </c>
      <c r="E7" s="12" t="s">
        <v>83</v>
      </c>
    </row>
    <row r="8" spans="1:5">
      <c r="A8" s="9">
        <v>4</v>
      </c>
      <c r="B8" s="14">
        <v>4</v>
      </c>
      <c r="C8" s="15">
        <v>45347</v>
      </c>
      <c r="D8" s="14" t="s">
        <v>84</v>
      </c>
      <c r="E8" s="10" t="s">
        <v>85</v>
      </c>
    </row>
    <row r="9" spans="1:5">
      <c r="A9" s="3">
        <v>5</v>
      </c>
      <c r="B9" s="4">
        <v>5</v>
      </c>
      <c r="C9" s="18">
        <v>45363</v>
      </c>
      <c r="D9" s="4" t="s">
        <v>79</v>
      </c>
      <c r="E9" s="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695D-EF39-49E1-B55C-4EAEDFD1D99D}">
  <dimension ref="A1:B6"/>
  <sheetViews>
    <sheetView tabSelected="1" workbookViewId="0">
      <selection activeCell="G32" sqref="G32"/>
    </sheetView>
  </sheetViews>
  <sheetFormatPr defaultRowHeight="14.25"/>
  <cols>
    <col min="1" max="1" width="13" customWidth="1"/>
    <col min="2" max="2" width="16.125" customWidth="1"/>
  </cols>
  <sheetData>
    <row r="1" spans="1:2">
      <c r="A1" s="7" t="s">
        <v>87</v>
      </c>
      <c r="B1" s="8" t="s">
        <v>88</v>
      </c>
    </row>
    <row r="2" spans="1:2">
      <c r="A2" s="9">
        <v>1</v>
      </c>
      <c r="B2" s="10" t="s">
        <v>89</v>
      </c>
    </row>
    <row r="3" spans="1:2">
      <c r="A3" s="11">
        <v>2</v>
      </c>
      <c r="B3" s="12" t="s">
        <v>90</v>
      </c>
    </row>
    <row r="4" spans="1:2">
      <c r="A4" s="9">
        <v>3</v>
      </c>
      <c r="B4" s="10" t="s">
        <v>91</v>
      </c>
    </row>
    <row r="5" spans="1:2">
      <c r="A5" s="11">
        <v>4</v>
      </c>
      <c r="B5" s="12" t="s">
        <v>92</v>
      </c>
    </row>
    <row r="6" spans="1:2">
      <c r="A6" s="2">
        <v>5</v>
      </c>
      <c r="B6" s="5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0B74-47AB-4D23-B399-17FA8FA8069B}">
  <dimension ref="A1:D12"/>
  <sheetViews>
    <sheetView tabSelected="1" workbookViewId="0">
      <selection activeCell="G32" sqref="G32"/>
    </sheetView>
  </sheetViews>
  <sheetFormatPr defaultRowHeight="14.25"/>
  <cols>
    <col min="1" max="1" width="12.25" customWidth="1"/>
    <col min="2" max="2" width="15.375" customWidth="1"/>
    <col min="3" max="3" width="13" customWidth="1"/>
  </cols>
  <sheetData>
    <row r="1" spans="1:4" ht="15">
      <c r="A1" s="19" t="s">
        <v>95</v>
      </c>
      <c r="B1" s="19" t="s">
        <v>115</v>
      </c>
      <c r="C1" s="19" t="s">
        <v>87</v>
      </c>
      <c r="D1" s="20" t="s">
        <v>116</v>
      </c>
    </row>
    <row r="2" spans="1:4">
      <c r="A2" s="14">
        <v>1</v>
      </c>
      <c r="B2" s="14" t="s">
        <v>117</v>
      </c>
      <c r="C2" s="14">
        <v>1</v>
      </c>
      <c r="D2" s="21">
        <v>1200</v>
      </c>
    </row>
    <row r="3" spans="1:4">
      <c r="A3" s="16">
        <v>2</v>
      </c>
      <c r="B3" s="16" t="s">
        <v>118</v>
      </c>
      <c r="C3" s="16">
        <v>1</v>
      </c>
      <c r="D3" s="22">
        <v>1100</v>
      </c>
    </row>
    <row r="4" spans="1:4">
      <c r="A4" s="14">
        <v>3</v>
      </c>
      <c r="B4" s="14" t="s">
        <v>119</v>
      </c>
      <c r="C4" s="14">
        <v>2</v>
      </c>
      <c r="D4" s="21">
        <v>990</v>
      </c>
    </row>
    <row r="5" spans="1:4">
      <c r="A5" s="16">
        <v>4</v>
      </c>
      <c r="B5" s="16" t="s">
        <v>120</v>
      </c>
      <c r="C5" s="16">
        <v>2</v>
      </c>
      <c r="D5" s="22">
        <v>950</v>
      </c>
    </row>
    <row r="6" spans="1:4">
      <c r="A6" s="14">
        <v>9</v>
      </c>
      <c r="B6" s="14" t="s">
        <v>125</v>
      </c>
      <c r="C6" s="14">
        <v>5</v>
      </c>
      <c r="D6" s="21">
        <v>550</v>
      </c>
    </row>
    <row r="7" spans="1:4">
      <c r="A7" s="16">
        <v>10</v>
      </c>
      <c r="B7" s="16" t="s">
        <v>126</v>
      </c>
      <c r="C7" s="16">
        <v>5</v>
      </c>
      <c r="D7" s="22">
        <v>530</v>
      </c>
    </row>
    <row r="8" spans="1:4" hidden="1">
      <c r="A8" s="16">
        <v>8</v>
      </c>
      <c r="B8" s="16" t="s">
        <v>124</v>
      </c>
      <c r="C8" s="16">
        <v>4</v>
      </c>
      <c r="D8" s="22">
        <v>450</v>
      </c>
    </row>
    <row r="9" spans="1:4" hidden="1">
      <c r="A9" s="14">
        <v>7</v>
      </c>
      <c r="B9" s="14" t="s">
        <v>123</v>
      </c>
      <c r="C9" s="14">
        <v>4</v>
      </c>
      <c r="D9" s="21">
        <v>280</v>
      </c>
    </row>
    <row r="10" spans="1:4" hidden="1">
      <c r="A10" s="14">
        <v>5</v>
      </c>
      <c r="B10" s="14" t="s">
        <v>121</v>
      </c>
      <c r="C10" s="14">
        <v>3</v>
      </c>
      <c r="D10" s="21">
        <v>120</v>
      </c>
    </row>
    <row r="11" spans="1:4" hidden="1">
      <c r="A11" s="16">
        <v>6</v>
      </c>
      <c r="B11" s="16" t="s">
        <v>122</v>
      </c>
      <c r="C11" s="16">
        <v>3</v>
      </c>
      <c r="D11" s="22">
        <v>50</v>
      </c>
    </row>
    <row r="12" spans="1:4">
      <c r="D12" s="2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1007-BEC2-432D-A92F-2EFB0EE6F026}">
  <dimension ref="A1:E10"/>
  <sheetViews>
    <sheetView tabSelected="1" workbookViewId="0">
      <selection activeCell="G32" sqref="G32"/>
    </sheetView>
  </sheetViews>
  <sheetFormatPr defaultRowHeight="14.25"/>
  <cols>
    <col min="1" max="1" width="15" customWidth="1"/>
    <col min="2" max="2" width="10.25" customWidth="1"/>
    <col min="3" max="3" width="12.25" customWidth="1"/>
    <col min="4" max="4" width="9.75" customWidth="1"/>
    <col min="5" max="5" width="11.625" customWidth="1"/>
  </cols>
  <sheetData>
    <row r="1" spans="1:5">
      <c r="A1" t="s">
        <v>94</v>
      </c>
      <c r="B1" t="s">
        <v>75</v>
      </c>
      <c r="C1" t="s">
        <v>95</v>
      </c>
      <c r="D1" t="s">
        <v>96</v>
      </c>
      <c r="E1" t="s">
        <v>97</v>
      </c>
    </row>
    <row r="2" spans="1:5">
      <c r="A2">
        <v>1</v>
      </c>
      <c r="B2">
        <v>1</v>
      </c>
      <c r="C2">
        <v>1</v>
      </c>
      <c r="D2">
        <v>1</v>
      </c>
      <c r="E2" t="s">
        <v>98</v>
      </c>
    </row>
    <row r="3" spans="1:5">
      <c r="A3">
        <v>2</v>
      </c>
      <c r="B3">
        <v>1</v>
      </c>
      <c r="C3">
        <v>5</v>
      </c>
      <c r="D3">
        <v>1</v>
      </c>
      <c r="E3" t="s">
        <v>99</v>
      </c>
    </row>
    <row r="4" spans="1:5">
      <c r="A4">
        <v>3</v>
      </c>
      <c r="B4">
        <v>2</v>
      </c>
      <c r="C4">
        <v>3</v>
      </c>
      <c r="D4">
        <v>1</v>
      </c>
      <c r="E4" t="s">
        <v>100</v>
      </c>
    </row>
    <row r="5" spans="1:5">
      <c r="A5">
        <v>4</v>
      </c>
      <c r="B5">
        <v>3</v>
      </c>
      <c r="C5">
        <v>7</v>
      </c>
      <c r="D5">
        <v>2</v>
      </c>
      <c r="E5" t="s">
        <v>101</v>
      </c>
    </row>
    <row r="6" spans="1:5">
      <c r="A6">
        <v>5</v>
      </c>
      <c r="B6">
        <v>4</v>
      </c>
      <c r="C6">
        <v>4</v>
      </c>
      <c r="D6">
        <v>1</v>
      </c>
      <c r="E6" t="s">
        <v>102</v>
      </c>
    </row>
    <row r="7" spans="1:5">
      <c r="A7">
        <v>6</v>
      </c>
      <c r="B7">
        <v>5</v>
      </c>
      <c r="C7">
        <v>9</v>
      </c>
      <c r="D7">
        <v>1</v>
      </c>
      <c r="E7" t="s">
        <v>103</v>
      </c>
    </row>
    <row r="8" spans="1:5">
      <c r="A8">
        <v>7</v>
      </c>
      <c r="B8">
        <v>6</v>
      </c>
      <c r="C8">
        <v>6</v>
      </c>
      <c r="D8">
        <v>2</v>
      </c>
      <c r="E8" t="s">
        <v>104</v>
      </c>
    </row>
    <row r="9" spans="1:5">
      <c r="A9">
        <v>8</v>
      </c>
      <c r="B9">
        <v>7</v>
      </c>
      <c r="C9">
        <v>2</v>
      </c>
      <c r="D9">
        <v>1</v>
      </c>
      <c r="E9" t="s">
        <v>105</v>
      </c>
    </row>
    <row r="10" spans="1:5">
      <c r="A10">
        <v>9</v>
      </c>
      <c r="B10">
        <v>8</v>
      </c>
      <c r="C10">
        <v>10</v>
      </c>
      <c r="D10">
        <v>1</v>
      </c>
      <c r="E10" t="s">
        <v>106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6454-020B-46BA-96FB-07D4B32F2F86}">
  <dimension ref="A1:E9"/>
  <sheetViews>
    <sheetView tabSelected="1" workbookViewId="0">
      <selection activeCell="G32" sqref="G32"/>
    </sheetView>
  </sheetViews>
  <sheetFormatPr defaultRowHeight="14.25"/>
  <cols>
    <col min="1" max="1" width="12.75" customWidth="1"/>
    <col min="2" max="2" width="10.25" customWidth="1"/>
    <col min="3" max="3" width="17.75" customWidth="1"/>
    <col min="4" max="4" width="16.5" customWidth="1"/>
    <col min="5" max="5" width="15" customWidth="1"/>
  </cols>
  <sheetData>
    <row r="1" spans="1:5">
      <c r="A1" t="s">
        <v>107</v>
      </c>
      <c r="B1" t="s">
        <v>75</v>
      </c>
      <c r="C1" t="s">
        <v>108</v>
      </c>
      <c r="D1" t="s">
        <v>109</v>
      </c>
      <c r="E1" t="s">
        <v>110</v>
      </c>
    </row>
    <row r="2" spans="1:5">
      <c r="A2">
        <v>1</v>
      </c>
      <c r="B2">
        <v>1</v>
      </c>
      <c r="C2" t="s">
        <v>111</v>
      </c>
      <c r="D2" t="s">
        <v>112</v>
      </c>
      <c r="E2" s="1">
        <v>45296</v>
      </c>
    </row>
    <row r="3" spans="1:5">
      <c r="A3">
        <v>2</v>
      </c>
      <c r="B3">
        <v>2</v>
      </c>
      <c r="C3" t="s">
        <v>113</v>
      </c>
      <c r="D3" t="s">
        <v>112</v>
      </c>
      <c r="E3" s="1">
        <v>45303</v>
      </c>
    </row>
    <row r="4" spans="1:5">
      <c r="A4">
        <v>3</v>
      </c>
      <c r="B4">
        <v>3</v>
      </c>
      <c r="C4" t="s">
        <v>111</v>
      </c>
      <c r="D4" t="s">
        <v>112</v>
      </c>
      <c r="E4" s="1">
        <v>45324</v>
      </c>
    </row>
    <row r="5" spans="1:5">
      <c r="A5">
        <v>4</v>
      </c>
      <c r="B5">
        <v>4</v>
      </c>
      <c r="C5" t="s">
        <v>114</v>
      </c>
      <c r="D5" t="s">
        <v>112</v>
      </c>
      <c r="E5" s="1">
        <v>45340</v>
      </c>
    </row>
    <row r="6" spans="1:5">
      <c r="A6">
        <v>5</v>
      </c>
      <c r="B6">
        <v>5</v>
      </c>
      <c r="C6" t="s">
        <v>111</v>
      </c>
      <c r="D6" t="s">
        <v>80</v>
      </c>
      <c r="E6" s="1">
        <v>45361</v>
      </c>
    </row>
    <row r="7" spans="1:5">
      <c r="A7">
        <v>6</v>
      </c>
      <c r="B7">
        <v>6</v>
      </c>
      <c r="C7" t="s">
        <v>113</v>
      </c>
      <c r="D7" t="s">
        <v>112</v>
      </c>
      <c r="E7" s="1">
        <v>45376</v>
      </c>
    </row>
    <row r="8" spans="1:5">
      <c r="A8">
        <v>7</v>
      </c>
      <c r="B8">
        <v>7</v>
      </c>
      <c r="C8" t="s">
        <v>114</v>
      </c>
      <c r="D8" t="s">
        <v>112</v>
      </c>
      <c r="E8" s="1">
        <v>45394</v>
      </c>
    </row>
    <row r="9" spans="1:5">
      <c r="A9">
        <v>8</v>
      </c>
      <c r="B9">
        <v>8</v>
      </c>
      <c r="C9" t="s">
        <v>111</v>
      </c>
      <c r="D9" t="s">
        <v>112</v>
      </c>
      <c r="E9" s="1">
        <v>45410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5F15-8FF1-4142-BD7B-00B7D5F5396F}">
  <dimension ref="A1:I5"/>
  <sheetViews>
    <sheetView tabSelected="1" zoomScale="130" zoomScaleNormal="130" workbookViewId="0">
      <selection activeCell="G32" sqref="G32"/>
    </sheetView>
  </sheetViews>
  <sheetFormatPr defaultRowHeight="14.25"/>
  <cols>
    <col min="1" max="1" width="9.625" customWidth="1"/>
    <col min="5" max="5" width="9.875" bestFit="1" customWidth="1"/>
  </cols>
  <sheetData>
    <row r="1" spans="1:9" ht="30">
      <c r="A1" s="24" t="s">
        <v>127</v>
      </c>
      <c r="B1" s="24" t="s">
        <v>128</v>
      </c>
      <c r="C1" s="24" t="s">
        <v>132</v>
      </c>
      <c r="D1" s="24" t="s">
        <v>131</v>
      </c>
      <c r="E1" s="24" t="s">
        <v>133</v>
      </c>
      <c r="F1" s="24" t="s">
        <v>134</v>
      </c>
      <c r="G1" s="24" t="s">
        <v>135</v>
      </c>
      <c r="H1" s="24" t="s">
        <v>136</v>
      </c>
      <c r="I1" s="24" t="s">
        <v>137</v>
      </c>
    </row>
    <row r="2" spans="1:9">
      <c r="A2" s="25" t="s">
        <v>3</v>
      </c>
      <c r="B2" s="25">
        <v>2099</v>
      </c>
      <c r="C2" s="25">
        <f>SUM(B2:B5)</f>
        <v>4699</v>
      </c>
      <c r="D2" s="25">
        <f>AVERAGE(B2:B5)</f>
        <v>1174.75</v>
      </c>
      <c r="E2" s="25">
        <f>MAX(B2:B5)</f>
        <v>2099</v>
      </c>
      <c r="F2" s="25">
        <f>MIN(B2:B5)</f>
        <v>500</v>
      </c>
      <c r="G2" s="25">
        <f>COUNT(B2:B5)</f>
        <v>4</v>
      </c>
      <c r="H2" s="25" t="str">
        <f>IF(B2&gt;1000,"VIP","Regular")</f>
        <v>VIP</v>
      </c>
      <c r="I2" s="25" t="str" cm="1">
        <f t="array" ref="I2">_xlfn.IFS(B2&gt;1500,"Premium",B2&gt;1000,"VIP",TRUE,"Regular")</f>
        <v>Premium</v>
      </c>
    </row>
    <row r="3" spans="1:9">
      <c r="A3" s="25" t="s">
        <v>130</v>
      </c>
      <c r="B3" s="25">
        <v>1200</v>
      </c>
      <c r="C3" s="25"/>
      <c r="D3" s="25"/>
      <c r="E3" s="25"/>
      <c r="F3" s="25"/>
      <c r="G3" s="25"/>
      <c r="H3" s="25" t="str">
        <f>IF(B3&gt;1000,"VIP","Regular")</f>
        <v>VIP</v>
      </c>
      <c r="I3" s="25" t="str" cm="1">
        <f t="array" ref="I3">_xlfn.IFS(B3&gt;1500,"Premium",B3&gt;1000,"VIP",TRUE,"Regular")</f>
        <v>VIP</v>
      </c>
    </row>
    <row r="4" spans="1:9">
      <c r="A4" s="25" t="s">
        <v>129</v>
      </c>
      <c r="B4" s="25">
        <v>900</v>
      </c>
      <c r="C4" s="25"/>
      <c r="D4" s="25"/>
      <c r="E4" s="25"/>
      <c r="F4" s="25"/>
      <c r="G4" s="25"/>
      <c r="H4" s="25" t="str">
        <f>IF(B4&gt;1000,"VIP","Regular")</f>
        <v>Regular</v>
      </c>
      <c r="I4" s="25" t="str" cm="1">
        <f t="array" ref="I4">_xlfn.IFS(B4&gt;1500,"Premium",B4&gt;1000,"VIP",TRUE,"Regular")</f>
        <v>Regular</v>
      </c>
    </row>
    <row r="5" spans="1:9">
      <c r="A5" s="25" t="s">
        <v>0</v>
      </c>
      <c r="B5" s="25">
        <v>500</v>
      </c>
      <c r="C5" s="25"/>
      <c r="D5" s="25"/>
      <c r="E5" s="25"/>
      <c r="F5" s="25"/>
      <c r="G5" s="25"/>
      <c r="H5" s="25" t="str">
        <f>IF(B5&gt;1000,"VIP","Regular")</f>
        <v>Regular</v>
      </c>
      <c r="I5" s="25" t="str" cm="1">
        <f t="array" ref="I5">_xlfn.IFS(B5&gt;1500,"Premium",B5&gt;1000,"VIP",TRUE,"Regular")</f>
        <v>Regular</v>
      </c>
    </row>
  </sheetData>
  <phoneticPr fontId="3" type="noConversion"/>
  <conditionalFormatting sqref="B2:B5">
    <cfRule type="cellIs" dxfId="0" priority="1" operator="greaterThan">
      <formula>1000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Customers</vt:lpstr>
      <vt:lpstr>Orders</vt:lpstr>
      <vt:lpstr>categories</vt:lpstr>
      <vt:lpstr>Products</vt:lpstr>
      <vt:lpstr>Order_items</vt:lpstr>
      <vt:lpstr>Payments</vt:lpstr>
      <vt:lpstr>Analysis</vt:lpstr>
      <vt:lpstr>tbl_categories</vt:lpstr>
      <vt:lpstr>tbl_orders</vt:lpstr>
      <vt:lpstr>tbl_products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2026-07-03T12:02:43Z</dcterms:created>
  <dcterms:modified xsi:type="dcterms:W3CDTF">2026-07-03T22:43:10Z</dcterms:modified>
</cp:coreProperties>
</file>