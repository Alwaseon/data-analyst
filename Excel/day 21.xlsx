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cuments\data-analyst\Excel\"/>
    </mc:Choice>
  </mc:AlternateContent>
  <xr:revisionPtr revIDLastSave="0" documentId="8_{E794A59C-8E55-4158-871B-433ACAA758AC}" xr6:coauthVersionLast="47" xr6:coauthVersionMax="47" xr10:uidLastSave="{00000000-0000-0000-0000-000000000000}"/>
  <bookViews>
    <workbookView xWindow="-120" yWindow="-120" windowWidth="29040" windowHeight="15720" activeTab="6" xr2:uid="{0777BA20-C399-47E3-9ADF-1BE31FE045D2}"/>
  </bookViews>
  <sheets>
    <sheet name="Orders" sheetId="1" r:id="rId1"/>
    <sheet name="Products" sheetId="3" r:id="rId2"/>
    <sheet name="Payments" sheetId="7" r:id="rId3"/>
    <sheet name="Order_items" sheetId="4" r:id="rId4"/>
    <sheet name="Customers" sheetId="5" r:id="rId5"/>
    <sheet name="pivot" sheetId="6" r:id="rId6"/>
    <sheet name="powerpivot_dashboard" sheetId="8" r:id="rId7"/>
  </sheets>
  <externalReferences>
    <externalReference r:id="rId8"/>
  </externalReferences>
  <definedNames>
    <definedName name="_xlcn.WorksheetConnection_Book1tbl_customers1" hidden="1">tbl_customers[]</definedName>
    <definedName name="_xlcn.WorksheetConnection_Book1tbl_order_items1" hidden="1">tbl_order_items[]</definedName>
    <definedName name="_xlcn.WorksheetConnection_Book1tbl_orders1" hidden="1">tbl_orders[]</definedName>
    <definedName name="_xlcn.WorksheetConnection_Book1tbl_payments1" hidden="1">tbl_payments[]</definedName>
    <definedName name="_xlcn.WorksheetConnection_Book1tbl_products1" hidden="1">tbl_products[]</definedName>
    <definedName name="Slicer_category_name">#N/A</definedName>
    <definedName name="Slicer_payment_method">#N/A</definedName>
  </definedNames>
  <calcPr calcId="191029"/>
  <pivotCaches>
    <pivotCache cacheId="443" r:id="rId9"/>
    <pivotCache cacheId="446" r:id="rId10"/>
    <pivotCache cacheId="449" r:id="rId11"/>
    <pivotCache cacheId="452" r:id="rId12"/>
    <pivotCache cacheId="455" r:id="rId13"/>
    <pivotCache cacheId="458" r:id="rId14"/>
  </pivotCaches>
  <extLst>
    <ext xmlns:x14="http://schemas.microsoft.com/office/spreadsheetml/2009/9/main" uri="{876F7934-8845-4945-9796-88D515C7AA90}">
      <x14:pivotCaches>
        <pivotCache cacheId="29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products" name="tbl_products" connection="WorksheetConnection_Book1!tbl_products"/>
          <x15:modelTable id="tbl_payments" name="tbl_payments" connection="WorksheetConnection_Book1!tbl_payments"/>
          <x15:modelTable id="tbl_orders" name="tbl_orders" connection="WorksheetConnection_Book1!tbl_orders"/>
          <x15:modelTable id="tbl_order_items" name="tbl_order_items" connection="WorksheetConnection_Book1!tbl_order_items"/>
          <x15:modelTable id="tbl_customers" name="tbl_customers" connection="WorksheetConnection_Book1!tbl_customers"/>
        </x15:modelTables>
        <x15:modelRelationships>
          <x15:modelRelationship fromTable="tbl_orders" fromColumn="customer_id" toTable="tbl_customers" toColumn="customer_id"/>
          <x15:modelRelationship fromTable="tbl_orders" fromColumn="order_id" toTable="tbl_payments" toColumn="order_id"/>
          <x15:modelRelationship fromTable="tbl_order_items" fromColumn="order_id" toTable="tbl_orders" toColumn="order_id"/>
          <x15:modelRelationship fromTable="tbl_order_items" fromColumn="product_id" toTable="tbl_products" toColumn="product_id"/>
        </x15:modelRelationships>
        <x15:extLst>
          <ext xmlns:x16="http://schemas.microsoft.com/office/spreadsheetml/2014/11/main" uri="{9835A34E-60A6-4A7C-AAB8-D5F71C897F49}">
            <x16:modelTimeGroupings>
              <x16:modelTimeGrouping tableName="tbl_customers" columnName="registration_date" columnId="registration_date">
                <x16:calculatedTimeColumn columnName="registration_date (Year)" columnId="registration_date (Year)" contentType="years" isSelected="1"/>
                <x16:calculatedTimeColumn columnName="registration_date (Quarter)" columnId="registration_date (Quarter)" contentType="quarters" isSelected="1"/>
                <x16:calculatedTimeColumn columnName="registration_date (Month Index)" columnId="registration_date (Month Index)" contentType="monthsindex" isSelected="1"/>
                <x16:calculatedTimeColumn columnName="registration_date (Month)" columnId="registra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 i="3" l="1"/>
  <c r="E9" i="3"/>
  <c r="E10" i="3"/>
  <c r="E11" i="3"/>
  <c r="E7" i="3"/>
  <c r="E6" i="3"/>
  <c r="E5" i="3"/>
  <c r="E4" i="3"/>
  <c r="E3" i="3"/>
  <c r="E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E2065F-5493-4E12-AAF8-A4CE8CE974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3E24AA2-4615-405B-A14A-B3F3015BA627}" name="WorksheetConnection_Book1!tbl_customers" type="102" refreshedVersion="8" minRefreshableVersion="5">
    <extLst>
      <ext xmlns:x15="http://schemas.microsoft.com/office/spreadsheetml/2010/11/main" uri="{DE250136-89BD-433C-8126-D09CA5730AF9}">
        <x15:connection id="tbl_customers">
          <x15:rangePr sourceName="_xlcn.WorksheetConnection_Book1tbl_customers1"/>
        </x15:connection>
      </ext>
    </extLst>
  </connection>
  <connection id="3" xr16:uid="{C2D3DF6F-A4B3-4C41-8842-24F6EEBD3B12}" name="WorksheetConnection_Book1!tbl_order_items" type="102" refreshedVersion="8" minRefreshableVersion="5">
    <extLst>
      <ext xmlns:x15="http://schemas.microsoft.com/office/spreadsheetml/2010/11/main" uri="{DE250136-89BD-433C-8126-D09CA5730AF9}">
        <x15:connection id="tbl_order_items">
          <x15:rangePr sourceName="_xlcn.WorksheetConnection_Book1tbl_order_items1"/>
        </x15:connection>
      </ext>
    </extLst>
  </connection>
  <connection id="4" xr16:uid="{2CE595FA-7C20-43FE-BA37-6BBF6D3B009A}" name="WorksheetConnection_Book1!tbl_orders" type="102" refreshedVersion="8" minRefreshableVersion="5">
    <extLst>
      <ext xmlns:x15="http://schemas.microsoft.com/office/spreadsheetml/2010/11/main" uri="{DE250136-89BD-433C-8126-D09CA5730AF9}">
        <x15:connection id="tbl_orders">
          <x15:rangePr sourceName="_xlcn.WorksheetConnection_Book1tbl_orders1"/>
        </x15:connection>
      </ext>
    </extLst>
  </connection>
  <connection id="5" xr16:uid="{55F16F98-266B-47AD-AF8E-AC816F56F79B}" name="WorksheetConnection_Book1!tbl_payments" type="102" refreshedVersion="8" minRefreshableVersion="5">
    <extLst>
      <ext xmlns:x15="http://schemas.microsoft.com/office/spreadsheetml/2010/11/main" uri="{DE250136-89BD-433C-8126-D09CA5730AF9}">
        <x15:connection id="tbl_payments">
          <x15:rangePr sourceName="_xlcn.WorksheetConnection_Book1tbl_payments1"/>
        </x15:connection>
      </ext>
    </extLst>
  </connection>
  <connection id="6" xr16:uid="{EA1F47DB-EBFF-4C96-A53A-13CD7BE7A9F2}" name="WorksheetConnection_Book1!tbl_products" type="102" refreshedVersion="8" minRefreshableVersion="5">
    <extLst>
      <ext xmlns:x15="http://schemas.microsoft.com/office/spreadsheetml/2010/11/main" uri="{DE250136-89BD-433C-8126-D09CA5730AF9}">
        <x15:connection id="tbl_products">
          <x15:rangePr sourceName="_xlcn.WorksheetConnection_Book1tbl_products1"/>
        </x15:connection>
      </ext>
    </extLst>
  </connection>
</connections>
</file>

<file path=xl/sharedStrings.xml><?xml version="1.0" encoding="utf-8"?>
<sst xmlns="http://schemas.openxmlformats.org/spreadsheetml/2006/main" count="233" uniqueCount="135">
  <si>
    <t>order_id</t>
  </si>
  <si>
    <t>customer_id</t>
  </si>
  <si>
    <t>order_date</t>
  </si>
  <si>
    <t>status</t>
  </si>
  <si>
    <t>amount</t>
  </si>
  <si>
    <t>Completed</t>
  </si>
  <si>
    <t>Cancelled</t>
  </si>
  <si>
    <t>120.50</t>
  </si>
  <si>
    <t>75.00</t>
  </si>
  <si>
    <t>210.99</t>
  </si>
  <si>
    <t>Pending</t>
  </si>
  <si>
    <t>55.50</t>
  </si>
  <si>
    <t>330.00</t>
  </si>
  <si>
    <t>William</t>
  </si>
  <si>
    <t>Anderson</t>
  </si>
  <si>
    <t>Chicago</t>
  </si>
  <si>
    <t>Ava</t>
  </si>
  <si>
    <t>Taylor</t>
  </si>
  <si>
    <t>Houston</t>
  </si>
  <si>
    <t>James</t>
  </si>
  <si>
    <t>Moore</t>
  </si>
  <si>
    <t>Denver</t>
  </si>
  <si>
    <t>Olivia</t>
  </si>
  <si>
    <t>Wilson</t>
  </si>
  <si>
    <t>Miami</t>
  </si>
  <si>
    <t>Daniel</t>
  </si>
  <si>
    <t>Miller</t>
  </si>
  <si>
    <t>Dallas</t>
  </si>
  <si>
    <t>Sophia</t>
  </si>
  <si>
    <t>Davis</t>
  </si>
  <si>
    <t>Seattle</t>
  </si>
  <si>
    <t>Michael</t>
  </si>
  <si>
    <t>Brown</t>
  </si>
  <si>
    <t>Boston</t>
  </si>
  <si>
    <t>Emma</t>
  </si>
  <si>
    <t>Johnson</t>
  </si>
  <si>
    <t>John</t>
  </si>
  <si>
    <t>Smith</t>
  </si>
  <si>
    <t>New York</t>
  </si>
  <si>
    <t>Grace</t>
  </si>
  <si>
    <t>Green</t>
  </si>
  <si>
    <t>Aiden</t>
  </si>
  <si>
    <t>Scott</t>
  </si>
  <si>
    <t>Scarlett</t>
  </si>
  <si>
    <t>Wright</t>
  </si>
  <si>
    <t>Jack</t>
  </si>
  <si>
    <t>King</t>
  </si>
  <si>
    <t>Ella</t>
  </si>
  <si>
    <t>Young</t>
  </si>
  <si>
    <t>Sebastian</t>
  </si>
  <si>
    <t>Allen</t>
  </si>
  <si>
    <t>Phoenix</t>
  </si>
  <si>
    <t>Emily</t>
  </si>
  <si>
    <t>Hall</t>
  </si>
  <si>
    <t>Logan</t>
  </si>
  <si>
    <t>Walker</t>
  </si>
  <si>
    <t>Los Angeles</t>
  </si>
  <si>
    <t>Abigail</t>
  </si>
  <si>
    <t>Lee</t>
  </si>
  <si>
    <t>Jacob</t>
  </si>
  <si>
    <t>Lewis</t>
  </si>
  <si>
    <t>Evelyn</t>
  </si>
  <si>
    <t>Rodriguez</t>
  </si>
  <si>
    <t>Ethan</t>
  </si>
  <si>
    <t>Clark</t>
  </si>
  <si>
    <t>Harper</t>
  </si>
  <si>
    <t>Robinson</t>
  </si>
  <si>
    <t>Alexander</t>
  </si>
  <si>
    <t>Martinez</t>
  </si>
  <si>
    <t>Amelia</t>
  </si>
  <si>
    <t>Garcia</t>
  </si>
  <si>
    <t>Henry</t>
  </si>
  <si>
    <t>Thompson</t>
  </si>
  <si>
    <t>Charlotte</t>
  </si>
  <si>
    <t>Martin</t>
  </si>
  <si>
    <t>Lucas</t>
  </si>
  <si>
    <t>Harris</t>
  </si>
  <si>
    <t>Mia</t>
  </si>
  <si>
    <t>White</t>
  </si>
  <si>
    <t>Benjamin</t>
  </si>
  <si>
    <t>Jackson</t>
  </si>
  <si>
    <t>Isabella</t>
  </si>
  <si>
    <t>Thomas</t>
  </si>
  <si>
    <t>MacBook Air M3</t>
  </si>
  <si>
    <t>ThinkPad T14</t>
  </si>
  <si>
    <t>iPhone 15</t>
  </si>
  <si>
    <t>Samsung S24</t>
  </si>
  <si>
    <t>PlayStation 5</t>
  </si>
  <si>
    <t>Xbox Series X</t>
  </si>
  <si>
    <t>product_id</t>
  </si>
  <si>
    <t>product_name</t>
  </si>
  <si>
    <t>category_id</t>
  </si>
  <si>
    <t>price</t>
  </si>
  <si>
    <t>category_name</t>
  </si>
  <si>
    <t>order_item_id</t>
  </si>
  <si>
    <t>quantity</t>
  </si>
  <si>
    <t>unit_price</t>
  </si>
  <si>
    <t>first_name</t>
  </si>
  <si>
    <t>last_name</t>
  </si>
  <si>
    <t>city</t>
  </si>
  <si>
    <t>registration_date</t>
  </si>
  <si>
    <t>Row Labels</t>
  </si>
  <si>
    <t>Gaming</t>
  </si>
  <si>
    <t>Laptops</t>
  </si>
  <si>
    <t>Smartphones</t>
  </si>
  <si>
    <t>Grand Total</t>
  </si>
  <si>
    <t>янв</t>
  </si>
  <si>
    <t>фев</t>
  </si>
  <si>
    <t>1200.00</t>
  </si>
  <si>
    <t>1100.00</t>
  </si>
  <si>
    <t>999.00</t>
  </si>
  <si>
    <t>950.00</t>
  </si>
  <si>
    <t>Mechanical Keyboard</t>
  </si>
  <si>
    <t>120.00</t>
  </si>
  <si>
    <t>Wireless Mouse</t>
  </si>
  <si>
    <t>50.00</t>
  </si>
  <si>
    <t>Dell 27 Monitor</t>
  </si>
  <si>
    <t>280.00</t>
  </si>
  <si>
    <t>LG Ultrawide</t>
  </si>
  <si>
    <t>450.00</t>
  </si>
  <si>
    <t>550.00</t>
  </si>
  <si>
    <t>530.00</t>
  </si>
  <si>
    <t>Accessories</t>
  </si>
  <si>
    <t>Monitors</t>
  </si>
  <si>
    <t>payment_id</t>
  </si>
  <si>
    <t>payment_method</t>
  </si>
  <si>
    <t>payment_status</t>
  </si>
  <si>
    <t>payment_date</t>
  </si>
  <si>
    <t>Card</t>
  </si>
  <si>
    <t>Paid</t>
  </si>
  <si>
    <t>Cash</t>
  </si>
  <si>
    <t>Transfer</t>
  </si>
  <si>
    <t>Total Revenue</t>
  </si>
  <si>
    <t>Total Orders</t>
  </si>
  <si>
    <t>Average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</si>
</sst>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04"/>
      <scheme val="minor"/>
    </font>
    <font>
      <b/>
      <sz val="11"/>
      <color theme="0"/>
      <name val="Aptos Narrow"/>
      <family val="2"/>
      <charset val="204"/>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18">
    <xf numFmtId="0" fontId="0" fillId="0" borderId="0" xfId="0"/>
    <xf numFmtId="0" fontId="1" fillId="2" borderId="0" xfId="0" applyFont="1" applyFill="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0" fillId="3" borderId="2" xfId="0" applyFill="1" applyBorder="1"/>
    <xf numFmtId="0" fontId="0" fillId="0" borderId="2" xfId="0" applyBorder="1"/>
    <xf numFmtId="2" fontId="0" fillId="3" borderId="2" xfId="0" applyNumberFormat="1" applyFill="1" applyBorder="1"/>
    <xf numFmtId="2" fontId="0" fillId="0" borderId="2" xfId="0" applyNumberFormat="1" applyBorder="1"/>
    <xf numFmtId="0" fontId="1" fillId="2" borderId="3" xfId="0" applyFont="1" applyFill="1" applyBorder="1"/>
    <xf numFmtId="2" fontId="1" fillId="2" borderId="3" xfId="0" applyNumberFormat="1" applyFont="1" applyFill="1" applyBorder="1"/>
    <xf numFmtId="2" fontId="0" fillId="0" borderId="1" xfId="0" applyNumberFormat="1" applyBorder="1"/>
    <xf numFmtId="4" fontId="0" fillId="3" borderId="1" xfId="0" applyNumberFormat="1" applyFill="1" applyBorder="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7">
    <dxf>
      <numFmt numFmtId="19" formatCode="dd/mm/yyyy"/>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
      <numFmt numFmtId="19" formatCode="dd/mm/yyyy"/>
    </dxf>
    <dxf>
      <border diagonalUp="0" diagonalDown="0">
        <left/>
        <right/>
        <top style="thin">
          <color theme="4" tint="0.39997558519241921"/>
        </top>
        <bottom style="thin">
          <color theme="4" tint="0.39997558519241921"/>
        </bottom>
        <vertical/>
        <horizontal/>
      </border>
    </dxf>
    <dxf>
      <numFmt numFmtId="2" formatCode="0.0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externalLink" Target="externalLinks/externalLink1.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21.xlsx]pivot!PivotTable1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ru-RU"/>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c:f>
              <c:strCache>
                <c:ptCount val="1"/>
                <c:pt idx="0">
                  <c:v>Total</c:v>
                </c:pt>
              </c:strCache>
            </c:strRef>
          </c:tx>
          <c:dPt>
            <c:idx val="0"/>
            <c:bubble3D val="0"/>
            <c:spPr>
              <a:solidFill>
                <a:schemeClr val="accent2">
                  <a:tint val="54000"/>
                </a:schemeClr>
              </a:solidFill>
              <a:ln>
                <a:noFill/>
              </a:ln>
              <a:effectLst>
                <a:outerShdw blurRad="317500" algn="ctr" rotWithShape="0">
                  <a:prstClr val="black">
                    <a:alpha val="25000"/>
                  </a:prstClr>
                </a:outerShdw>
              </a:effectLst>
            </c:spPr>
          </c:dPt>
          <c:dPt>
            <c:idx val="1"/>
            <c:bubble3D val="0"/>
            <c:spPr>
              <a:solidFill>
                <a:schemeClr val="accent2">
                  <a:tint val="77000"/>
                </a:schemeClr>
              </a:solidFill>
              <a:ln>
                <a:noFill/>
              </a:ln>
              <a:effectLst>
                <a:outerShdw blurRad="317500" algn="ctr" rotWithShape="0">
                  <a:prstClr val="black">
                    <a:alpha val="25000"/>
                  </a:prstClr>
                </a:outerShdw>
              </a:effectLst>
            </c:spPr>
          </c:dPt>
          <c:dPt>
            <c:idx val="2"/>
            <c:bubble3D val="0"/>
            <c:spPr>
              <a:solidFill>
                <a:schemeClr val="accent2"/>
              </a:solidFill>
              <a:ln>
                <a:noFill/>
              </a:ln>
              <a:effectLst>
                <a:outerShdw blurRad="317500" algn="ctr" rotWithShape="0">
                  <a:prstClr val="black">
                    <a:alpha val="25000"/>
                  </a:prstClr>
                </a:outerShdw>
              </a:effectLst>
            </c:spPr>
          </c:dPt>
          <c:dPt>
            <c:idx val="3"/>
            <c:bubble3D val="0"/>
            <c:spPr>
              <a:solidFill>
                <a:schemeClr val="accent2">
                  <a:shade val="76000"/>
                </a:schemeClr>
              </a:solidFill>
              <a:ln>
                <a:noFill/>
              </a:ln>
              <a:effectLst>
                <a:outerShdw blurRad="317500" algn="ctr" rotWithShape="0">
                  <a:prstClr val="black">
                    <a:alpha val="25000"/>
                  </a:prstClr>
                </a:outerShdw>
              </a:effectLst>
            </c:spPr>
          </c:dPt>
          <c:dPt>
            <c:idx val="4"/>
            <c:bubble3D val="0"/>
            <c:spPr>
              <a:solidFill>
                <a:schemeClr val="accent2">
                  <a:shade val="53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pivot!$A$2:$A$7</c:f>
              <c:strCache>
                <c:ptCount val="5"/>
                <c:pt idx="0">
                  <c:v>Accessories</c:v>
                </c:pt>
                <c:pt idx="1">
                  <c:v>Gaming</c:v>
                </c:pt>
                <c:pt idx="2">
                  <c:v>Laptops</c:v>
                </c:pt>
                <c:pt idx="3">
                  <c:v>Monitors</c:v>
                </c:pt>
                <c:pt idx="4">
                  <c:v>Smartphones</c:v>
                </c:pt>
              </c:strCache>
            </c:strRef>
          </c:cat>
          <c:val>
            <c:numRef>
              <c:f>pivot!$B$2:$B$7</c:f>
              <c:numCache>
                <c:formatCode>General</c:formatCode>
                <c:ptCount val="5"/>
                <c:pt idx="0">
                  <c:v>220</c:v>
                </c:pt>
                <c:pt idx="1">
                  <c:v>1080</c:v>
                </c:pt>
                <c:pt idx="2">
                  <c:v>2300</c:v>
                </c:pt>
                <c:pt idx="3">
                  <c:v>560</c:v>
                </c:pt>
                <c:pt idx="4">
                  <c:v>1949</c:v>
                </c:pt>
              </c:numCache>
            </c:numRef>
          </c:val>
          <c:extLst>
            <c:ext xmlns:c16="http://schemas.microsoft.com/office/drawing/2014/chart" uri="{C3380CC4-5D6E-409C-BE32-E72D297353CC}">
              <c16:uniqueId val="{00000000-DE10-48CD-8E49-635DE2F951F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21.xlsx]pivot!PivotTable3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pivot!$F$1</c:f>
              <c:strCache>
                <c:ptCount val="1"/>
                <c:pt idx="0">
                  <c:v>Total</c:v>
                </c:pt>
              </c:strCache>
            </c:strRef>
          </c:tx>
          <c:spPr>
            <a:solidFill>
              <a:schemeClr val="accent2"/>
            </a:solidFill>
            <a:ln>
              <a:noFill/>
            </a:ln>
            <a:effectLst/>
          </c:spPr>
          <c:invertIfNegative val="0"/>
          <c:cat>
            <c:strRef>
              <c:f>pivot!$E$2:$E$8</c:f>
              <c:strCache>
                <c:ptCount val="6"/>
                <c:pt idx="0">
                  <c:v>1</c:v>
                </c:pt>
                <c:pt idx="1">
                  <c:v>2</c:v>
                </c:pt>
                <c:pt idx="2">
                  <c:v>3</c:v>
                </c:pt>
                <c:pt idx="3">
                  <c:v>4</c:v>
                </c:pt>
                <c:pt idx="4">
                  <c:v>5</c:v>
                </c:pt>
                <c:pt idx="5">
                  <c:v>6</c:v>
                </c:pt>
              </c:strCache>
            </c:strRef>
          </c:cat>
          <c:val>
            <c:numRef>
              <c:f>pivot!$F$2:$F$8</c:f>
              <c:numCache>
                <c:formatCode>General</c:formatCode>
                <c:ptCount val="6"/>
                <c:pt idx="0">
                  <c:v>1420</c:v>
                </c:pt>
                <c:pt idx="1">
                  <c:v>2099</c:v>
                </c:pt>
                <c:pt idx="2">
                  <c:v>560</c:v>
                </c:pt>
                <c:pt idx="3">
                  <c:v>950</c:v>
                </c:pt>
                <c:pt idx="4">
                  <c:v>550</c:v>
                </c:pt>
                <c:pt idx="5">
                  <c:v>530</c:v>
                </c:pt>
              </c:numCache>
            </c:numRef>
          </c:val>
          <c:extLst>
            <c:ext xmlns:c16="http://schemas.microsoft.com/office/drawing/2014/chart" uri="{C3380CC4-5D6E-409C-BE32-E72D297353CC}">
              <c16:uniqueId val="{00000000-322F-4A0F-B705-B4EE6E30F617}"/>
            </c:ext>
          </c:extLst>
        </c:ser>
        <c:dLbls>
          <c:showLegendKey val="0"/>
          <c:showVal val="0"/>
          <c:showCatName val="0"/>
          <c:showSerName val="0"/>
          <c:showPercent val="0"/>
          <c:showBubbleSize val="0"/>
        </c:dLbls>
        <c:gapWidth val="150"/>
        <c:overlap val="100"/>
        <c:axId val="1337813983"/>
        <c:axId val="1355691279"/>
      </c:barChart>
      <c:catAx>
        <c:axId val="133781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5691279"/>
        <c:crosses val="autoZero"/>
        <c:auto val="1"/>
        <c:lblAlgn val="ctr"/>
        <c:lblOffset val="100"/>
        <c:noMultiLvlLbl val="0"/>
      </c:catAx>
      <c:valAx>
        <c:axId val="135569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3781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21.xlsx]pivot!PivotTable2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pivot!$I$17</c:f>
              <c:strCache>
                <c:ptCount val="1"/>
                <c:pt idx="0">
                  <c:v>Total</c:v>
                </c:pt>
              </c:strCache>
            </c:strRef>
          </c:tx>
          <c:spPr>
            <a:solidFill>
              <a:schemeClr val="accent2"/>
            </a:solidFill>
            <a:ln>
              <a:noFill/>
            </a:ln>
            <a:effectLst/>
          </c:spPr>
          <c:invertIfNegative val="0"/>
          <c:cat>
            <c:strRef>
              <c:f>pivot!$H$18:$H$21</c:f>
              <c:strCache>
                <c:ptCount val="3"/>
                <c:pt idx="0">
                  <c:v>Card</c:v>
                </c:pt>
                <c:pt idx="1">
                  <c:v>Cash</c:v>
                </c:pt>
                <c:pt idx="2">
                  <c:v>Transfer</c:v>
                </c:pt>
              </c:strCache>
            </c:strRef>
          </c:cat>
          <c:val>
            <c:numRef>
              <c:f>pivot!$I$18:$I$21</c:f>
              <c:numCache>
                <c:formatCode>General</c:formatCode>
                <c:ptCount val="3"/>
                <c:pt idx="0">
                  <c:v>5</c:v>
                </c:pt>
                <c:pt idx="1">
                  <c:v>2</c:v>
                </c:pt>
                <c:pt idx="2">
                  <c:v>2</c:v>
                </c:pt>
              </c:numCache>
            </c:numRef>
          </c:val>
          <c:extLst>
            <c:ext xmlns:c16="http://schemas.microsoft.com/office/drawing/2014/chart" uri="{C3380CC4-5D6E-409C-BE32-E72D297353CC}">
              <c16:uniqueId val="{00000000-0D53-4FFC-9162-A0696252C313}"/>
            </c:ext>
          </c:extLst>
        </c:ser>
        <c:dLbls>
          <c:showLegendKey val="0"/>
          <c:showVal val="0"/>
          <c:showCatName val="0"/>
          <c:showSerName val="0"/>
          <c:showPercent val="0"/>
          <c:showBubbleSize val="0"/>
        </c:dLbls>
        <c:gapWidth val="150"/>
        <c:overlap val="100"/>
        <c:axId val="62454496"/>
        <c:axId val="1355680239"/>
      </c:barChart>
      <c:catAx>
        <c:axId val="6245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5680239"/>
        <c:crosses val="autoZero"/>
        <c:auto val="1"/>
        <c:lblAlgn val="ctr"/>
        <c:lblOffset val="100"/>
        <c:noMultiLvlLbl val="0"/>
      </c:catAx>
      <c:valAx>
        <c:axId val="135568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245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21.xlsx]pivot!PivotTable6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pivot!$E$10</c:f>
              <c:strCache>
                <c:ptCount val="1"/>
                <c:pt idx="0">
                  <c:v>Total</c:v>
                </c:pt>
              </c:strCache>
            </c:strRef>
          </c:tx>
          <c:spPr>
            <a:solidFill>
              <a:schemeClr val="accent2"/>
            </a:solidFill>
            <a:ln>
              <a:noFill/>
            </a:ln>
            <a:effectLst/>
          </c:spPr>
          <c:invertIfNegative val="0"/>
          <c:cat>
            <c:strRef>
              <c:f>pivot!$D$11:$D$16</c:f>
              <c:strCache>
                <c:ptCount val="5"/>
                <c:pt idx="0">
                  <c:v>Accessories</c:v>
                </c:pt>
                <c:pt idx="1">
                  <c:v>Gaming</c:v>
                </c:pt>
                <c:pt idx="2">
                  <c:v>Laptops</c:v>
                </c:pt>
                <c:pt idx="3">
                  <c:v>Monitors</c:v>
                </c:pt>
                <c:pt idx="4">
                  <c:v>Smartphones</c:v>
                </c:pt>
              </c:strCache>
            </c:strRef>
          </c:cat>
          <c:val>
            <c:numRef>
              <c:f>pivot!$E$11:$E$16</c:f>
              <c:numCache>
                <c:formatCode>General</c:formatCode>
                <c:ptCount val="5"/>
                <c:pt idx="0">
                  <c:v>85</c:v>
                </c:pt>
                <c:pt idx="1">
                  <c:v>540</c:v>
                </c:pt>
                <c:pt idx="2">
                  <c:v>1150</c:v>
                </c:pt>
                <c:pt idx="3">
                  <c:v>280</c:v>
                </c:pt>
                <c:pt idx="4">
                  <c:v>974.5</c:v>
                </c:pt>
              </c:numCache>
            </c:numRef>
          </c:val>
          <c:extLst>
            <c:ext xmlns:c16="http://schemas.microsoft.com/office/drawing/2014/chart" uri="{C3380CC4-5D6E-409C-BE32-E72D297353CC}">
              <c16:uniqueId val="{00000000-8F7A-42D1-818A-F7D49DDA3094}"/>
            </c:ext>
          </c:extLst>
        </c:ser>
        <c:dLbls>
          <c:showLegendKey val="0"/>
          <c:showVal val="0"/>
          <c:showCatName val="0"/>
          <c:showSerName val="0"/>
          <c:showPercent val="0"/>
          <c:showBubbleSize val="0"/>
        </c:dLbls>
        <c:gapWidth val="219"/>
        <c:overlap val="-27"/>
        <c:axId val="60566080"/>
        <c:axId val="1352471695"/>
      </c:barChart>
      <c:catAx>
        <c:axId val="6056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2471695"/>
        <c:crosses val="autoZero"/>
        <c:auto val="1"/>
        <c:lblAlgn val="ctr"/>
        <c:lblOffset val="100"/>
        <c:noMultiLvlLbl val="0"/>
      </c:catAx>
      <c:valAx>
        <c:axId val="135247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056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21.xlsx]pivot!PivotTable1</c:name>
    <c:fmtId val="10"/>
  </c:pivotSource>
  <c:chart>
    <c:title>
      <c:tx>
        <c:rich>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r>
              <a:rPr lang="en-US"/>
              <a:t>Revenue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endParaRPr lang="ru-RU"/>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c:spPr>
      </c:pivotFmt>
      <c:pivotFmt>
        <c:idx val="9"/>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pivotFmt>
      <c:pivotFmt>
        <c:idx val="12"/>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c:spPr>
      </c:pivotFmt>
    </c:pivotFmts>
    <c:plotArea>
      <c:layout/>
      <c:doughnutChart>
        <c:varyColors val="1"/>
        <c:ser>
          <c:idx val="0"/>
          <c:order val="0"/>
          <c:tx>
            <c:strRef>
              <c:f>pivot!$B$1</c:f>
              <c:strCache>
                <c:ptCount val="1"/>
                <c:pt idx="0">
                  <c:v>Total</c:v>
                </c:pt>
              </c:strCache>
            </c:strRef>
          </c:tx>
          <c:dPt>
            <c:idx val="0"/>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1-5B57-4748-BEE8-8E3C956E8E0C}"/>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5B57-4748-BEE8-8E3C956E8E0C}"/>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5-5B57-4748-BEE8-8E3C956E8E0C}"/>
              </c:ext>
            </c:extLst>
          </c:dPt>
          <c:dPt>
            <c:idx val="3"/>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7-5B57-4748-BEE8-8E3C956E8E0C}"/>
              </c:ext>
            </c:extLst>
          </c:dPt>
          <c:dPt>
            <c:idx val="4"/>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9-5B57-4748-BEE8-8E3C956E8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ru-RU"/>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pivot!$A$2:$A$7</c:f>
              <c:strCache>
                <c:ptCount val="5"/>
                <c:pt idx="0">
                  <c:v>Accessories</c:v>
                </c:pt>
                <c:pt idx="1">
                  <c:v>Gaming</c:v>
                </c:pt>
                <c:pt idx="2">
                  <c:v>Laptops</c:v>
                </c:pt>
                <c:pt idx="3">
                  <c:v>Monitors</c:v>
                </c:pt>
                <c:pt idx="4">
                  <c:v>Smartphones</c:v>
                </c:pt>
              </c:strCache>
            </c:strRef>
          </c:cat>
          <c:val>
            <c:numRef>
              <c:f>pivot!$B$2:$B$7</c:f>
              <c:numCache>
                <c:formatCode>General</c:formatCode>
                <c:ptCount val="5"/>
                <c:pt idx="0">
                  <c:v>220</c:v>
                </c:pt>
                <c:pt idx="1">
                  <c:v>1080</c:v>
                </c:pt>
                <c:pt idx="2">
                  <c:v>2300</c:v>
                </c:pt>
                <c:pt idx="3">
                  <c:v>560</c:v>
                </c:pt>
                <c:pt idx="4">
                  <c:v>1949</c:v>
                </c:pt>
              </c:numCache>
            </c:numRef>
          </c:val>
          <c:extLst>
            <c:ext xmlns:c16="http://schemas.microsoft.com/office/drawing/2014/chart" uri="{C3380CC4-5D6E-409C-BE32-E72D297353CC}">
              <c16:uniqueId val="{0000000A-5B57-4748-BEE8-8E3C956E8E0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21.xlsx]pivot!PivotTable3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customer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pivot!$F$1</c:f>
              <c:strCache>
                <c:ptCount val="1"/>
                <c:pt idx="0">
                  <c:v>Total</c:v>
                </c:pt>
              </c:strCache>
            </c:strRef>
          </c:tx>
          <c:spPr>
            <a:solidFill>
              <a:schemeClr val="accent2"/>
            </a:solidFill>
            <a:ln>
              <a:noFill/>
            </a:ln>
            <a:effectLst/>
          </c:spPr>
          <c:invertIfNegative val="0"/>
          <c:cat>
            <c:strRef>
              <c:f>pivot!$E$2:$E$8</c:f>
              <c:strCache>
                <c:ptCount val="6"/>
                <c:pt idx="0">
                  <c:v>1</c:v>
                </c:pt>
                <c:pt idx="1">
                  <c:v>2</c:v>
                </c:pt>
                <c:pt idx="2">
                  <c:v>3</c:v>
                </c:pt>
                <c:pt idx="3">
                  <c:v>4</c:v>
                </c:pt>
                <c:pt idx="4">
                  <c:v>5</c:v>
                </c:pt>
                <c:pt idx="5">
                  <c:v>6</c:v>
                </c:pt>
              </c:strCache>
            </c:strRef>
          </c:cat>
          <c:val>
            <c:numRef>
              <c:f>pivot!$F$2:$F$8</c:f>
              <c:numCache>
                <c:formatCode>General</c:formatCode>
                <c:ptCount val="6"/>
                <c:pt idx="0">
                  <c:v>1420</c:v>
                </c:pt>
                <c:pt idx="1">
                  <c:v>2099</c:v>
                </c:pt>
                <c:pt idx="2">
                  <c:v>560</c:v>
                </c:pt>
                <c:pt idx="3">
                  <c:v>950</c:v>
                </c:pt>
                <c:pt idx="4">
                  <c:v>550</c:v>
                </c:pt>
                <c:pt idx="5">
                  <c:v>530</c:v>
                </c:pt>
              </c:numCache>
            </c:numRef>
          </c:val>
          <c:extLst>
            <c:ext xmlns:c16="http://schemas.microsoft.com/office/drawing/2014/chart" uri="{C3380CC4-5D6E-409C-BE32-E72D297353CC}">
              <c16:uniqueId val="{00000000-AAAF-49B3-92C0-9A4F1B02160A}"/>
            </c:ext>
          </c:extLst>
        </c:ser>
        <c:dLbls>
          <c:showLegendKey val="0"/>
          <c:showVal val="0"/>
          <c:showCatName val="0"/>
          <c:showSerName val="0"/>
          <c:showPercent val="0"/>
          <c:showBubbleSize val="0"/>
        </c:dLbls>
        <c:gapWidth val="150"/>
        <c:overlap val="100"/>
        <c:axId val="1337813983"/>
        <c:axId val="1355691279"/>
      </c:barChart>
      <c:catAx>
        <c:axId val="133781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5691279"/>
        <c:crosses val="autoZero"/>
        <c:auto val="1"/>
        <c:lblAlgn val="ctr"/>
        <c:lblOffset val="100"/>
        <c:noMultiLvlLbl val="0"/>
      </c:catAx>
      <c:valAx>
        <c:axId val="135569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3781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21.xlsx]pivot!PivotTable2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pivot!$I$17</c:f>
              <c:strCache>
                <c:ptCount val="1"/>
                <c:pt idx="0">
                  <c:v>Total</c:v>
                </c:pt>
              </c:strCache>
            </c:strRef>
          </c:tx>
          <c:spPr>
            <a:solidFill>
              <a:schemeClr val="accent2"/>
            </a:solidFill>
            <a:ln>
              <a:noFill/>
            </a:ln>
            <a:effectLst/>
          </c:spPr>
          <c:invertIfNegative val="0"/>
          <c:cat>
            <c:strRef>
              <c:f>pivot!$H$18:$H$21</c:f>
              <c:strCache>
                <c:ptCount val="3"/>
                <c:pt idx="0">
                  <c:v>Card</c:v>
                </c:pt>
                <c:pt idx="1">
                  <c:v>Cash</c:v>
                </c:pt>
                <c:pt idx="2">
                  <c:v>Transfer</c:v>
                </c:pt>
              </c:strCache>
            </c:strRef>
          </c:cat>
          <c:val>
            <c:numRef>
              <c:f>pivot!$I$18:$I$21</c:f>
              <c:numCache>
                <c:formatCode>General</c:formatCode>
                <c:ptCount val="3"/>
                <c:pt idx="0">
                  <c:v>5</c:v>
                </c:pt>
                <c:pt idx="1">
                  <c:v>2</c:v>
                </c:pt>
                <c:pt idx="2">
                  <c:v>2</c:v>
                </c:pt>
              </c:numCache>
            </c:numRef>
          </c:val>
          <c:extLst>
            <c:ext xmlns:c16="http://schemas.microsoft.com/office/drawing/2014/chart" uri="{C3380CC4-5D6E-409C-BE32-E72D297353CC}">
              <c16:uniqueId val="{00000000-5184-410E-8DAA-FA11FDA96C10}"/>
            </c:ext>
          </c:extLst>
        </c:ser>
        <c:dLbls>
          <c:showLegendKey val="0"/>
          <c:showVal val="0"/>
          <c:showCatName val="0"/>
          <c:showSerName val="0"/>
          <c:showPercent val="0"/>
          <c:showBubbleSize val="0"/>
        </c:dLbls>
        <c:gapWidth val="150"/>
        <c:overlap val="100"/>
        <c:axId val="62454496"/>
        <c:axId val="1355680239"/>
      </c:barChart>
      <c:catAx>
        <c:axId val="6245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5680239"/>
        <c:crosses val="autoZero"/>
        <c:auto val="1"/>
        <c:lblAlgn val="ctr"/>
        <c:lblOffset val="100"/>
        <c:noMultiLvlLbl val="0"/>
      </c:catAx>
      <c:valAx>
        <c:axId val="135568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245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 21.xlsx]pivot!PivotTable6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pivot!$E$10</c:f>
              <c:strCache>
                <c:ptCount val="1"/>
                <c:pt idx="0">
                  <c:v>Total</c:v>
                </c:pt>
              </c:strCache>
            </c:strRef>
          </c:tx>
          <c:spPr>
            <a:solidFill>
              <a:schemeClr val="accent2"/>
            </a:solidFill>
            <a:ln>
              <a:noFill/>
            </a:ln>
            <a:effectLst/>
          </c:spPr>
          <c:invertIfNegative val="0"/>
          <c:cat>
            <c:strRef>
              <c:f>pivot!$D$11:$D$16</c:f>
              <c:strCache>
                <c:ptCount val="5"/>
                <c:pt idx="0">
                  <c:v>Accessories</c:v>
                </c:pt>
                <c:pt idx="1">
                  <c:v>Gaming</c:v>
                </c:pt>
                <c:pt idx="2">
                  <c:v>Laptops</c:v>
                </c:pt>
                <c:pt idx="3">
                  <c:v>Monitors</c:v>
                </c:pt>
                <c:pt idx="4">
                  <c:v>Smartphones</c:v>
                </c:pt>
              </c:strCache>
            </c:strRef>
          </c:cat>
          <c:val>
            <c:numRef>
              <c:f>pivot!$E$11:$E$16</c:f>
              <c:numCache>
                <c:formatCode>General</c:formatCode>
                <c:ptCount val="5"/>
                <c:pt idx="0">
                  <c:v>85</c:v>
                </c:pt>
                <c:pt idx="1">
                  <c:v>540</c:v>
                </c:pt>
                <c:pt idx="2">
                  <c:v>1150</c:v>
                </c:pt>
                <c:pt idx="3">
                  <c:v>280</c:v>
                </c:pt>
                <c:pt idx="4">
                  <c:v>974.5</c:v>
                </c:pt>
              </c:numCache>
            </c:numRef>
          </c:val>
          <c:extLst>
            <c:ext xmlns:c16="http://schemas.microsoft.com/office/drawing/2014/chart" uri="{C3380CC4-5D6E-409C-BE32-E72D297353CC}">
              <c16:uniqueId val="{00000000-58F7-4B81-BBAC-5AE8DDEEB461}"/>
            </c:ext>
          </c:extLst>
        </c:ser>
        <c:dLbls>
          <c:showLegendKey val="0"/>
          <c:showVal val="0"/>
          <c:showCatName val="0"/>
          <c:showSerName val="0"/>
          <c:showPercent val="0"/>
          <c:showBubbleSize val="0"/>
        </c:dLbls>
        <c:gapWidth val="219"/>
        <c:overlap val="-27"/>
        <c:axId val="60566080"/>
        <c:axId val="1352471695"/>
      </c:barChart>
      <c:catAx>
        <c:axId val="6056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2471695"/>
        <c:crosses val="autoZero"/>
        <c:auto val="1"/>
        <c:lblAlgn val="ctr"/>
        <c:lblOffset val="100"/>
        <c:noMultiLvlLbl val="0"/>
      </c:catAx>
      <c:valAx>
        <c:axId val="135247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056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809625</xdr:colOff>
      <xdr:row>17</xdr:row>
      <xdr:rowOff>147637</xdr:rowOff>
    </xdr:from>
    <xdr:to>
      <xdr:col>6</xdr:col>
      <xdr:colOff>38100</xdr:colOff>
      <xdr:row>32</xdr:row>
      <xdr:rowOff>33337</xdr:rowOff>
    </xdr:to>
    <xdr:graphicFrame macro="">
      <xdr:nvGraphicFramePr>
        <xdr:cNvPr id="3" name="Chart 2">
          <a:extLst>
            <a:ext uri="{FF2B5EF4-FFF2-40B4-BE49-F238E27FC236}">
              <a16:creationId xmlns:a16="http://schemas.microsoft.com/office/drawing/2014/main" id="{B5FEE228-10F2-83C8-3A07-46A488D67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1047750</xdr:colOff>
      <xdr:row>16</xdr:row>
      <xdr:rowOff>176212</xdr:rowOff>
    </xdr:from>
    <xdr:to>
      <xdr:col>14</xdr:col>
      <xdr:colOff>0</xdr:colOff>
      <xdr:row>31</xdr:row>
      <xdr:rowOff>61912</xdr:rowOff>
    </xdr:to>
    <xdr:graphicFrame macro="">
      <xdr:nvGraphicFramePr>
        <xdr:cNvPr id="5" name="Chart 4">
          <a:extLst>
            <a:ext uri="{FF2B5EF4-FFF2-40B4-BE49-F238E27FC236}">
              <a16:creationId xmlns:a16="http://schemas.microsoft.com/office/drawing/2014/main" id="{FB802DF2-5F22-E6B6-5251-EA0A6786C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171450</xdr:colOff>
      <xdr:row>2</xdr:row>
      <xdr:rowOff>61912</xdr:rowOff>
    </xdr:from>
    <xdr:to>
      <xdr:col>14</xdr:col>
      <xdr:colOff>9525</xdr:colOff>
      <xdr:row>16</xdr:row>
      <xdr:rowOff>138112</xdr:rowOff>
    </xdr:to>
    <xdr:graphicFrame macro="">
      <xdr:nvGraphicFramePr>
        <xdr:cNvPr id="6" name="Chart 5">
          <a:extLst>
            <a:ext uri="{FF2B5EF4-FFF2-40B4-BE49-F238E27FC236}">
              <a16:creationId xmlns:a16="http://schemas.microsoft.com/office/drawing/2014/main" id="{3D1B650C-FE53-AFBF-BE56-BBBCF1710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47625</xdr:colOff>
      <xdr:row>32</xdr:row>
      <xdr:rowOff>123825</xdr:rowOff>
    </xdr:from>
    <xdr:to>
      <xdr:col>6</xdr:col>
      <xdr:colOff>38100</xdr:colOff>
      <xdr:row>47</xdr:row>
      <xdr:rowOff>9525</xdr:rowOff>
    </xdr:to>
    <xdr:graphicFrame macro="">
      <xdr:nvGraphicFramePr>
        <xdr:cNvPr id="9" name="Chart 8">
          <a:extLst>
            <a:ext uri="{FF2B5EF4-FFF2-40B4-BE49-F238E27FC236}">
              <a16:creationId xmlns:a16="http://schemas.microsoft.com/office/drawing/2014/main" id="{08C61B07-1FD0-BEF7-6D3A-991671E27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304800</xdr:colOff>
      <xdr:row>0</xdr:row>
      <xdr:rowOff>0</xdr:rowOff>
    </xdr:from>
    <xdr:to>
      <xdr:col>15</xdr:col>
      <xdr:colOff>0</xdr:colOff>
      <xdr:row>14</xdr:row>
      <xdr:rowOff>95250</xdr:rowOff>
    </xdr:to>
    <xdr:graphicFrame macro="">
      <xdr:nvGraphicFramePr>
        <xdr:cNvPr id="2" name="Chart 1">
          <a:extLst>
            <a:ext uri="{FF2B5EF4-FFF2-40B4-BE49-F238E27FC236}">
              <a16:creationId xmlns:a16="http://schemas.microsoft.com/office/drawing/2014/main" id="{DB1BF495-E255-4415-81AB-36773E338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14</xdr:row>
      <xdr:rowOff>76200</xdr:rowOff>
    </xdr:from>
    <xdr:to>
      <xdr:col>7</xdr:col>
      <xdr:colOff>314325</xdr:colOff>
      <xdr:row>28</xdr:row>
      <xdr:rowOff>152400</xdr:rowOff>
    </xdr:to>
    <xdr:graphicFrame macro="">
      <xdr:nvGraphicFramePr>
        <xdr:cNvPr id="3" name="Chart 2">
          <a:extLst>
            <a:ext uri="{FF2B5EF4-FFF2-40B4-BE49-F238E27FC236}">
              <a16:creationId xmlns:a16="http://schemas.microsoft.com/office/drawing/2014/main" id="{2279BF0A-6C05-4A7D-B969-2D2933BD4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7</xdr:col>
      <xdr:colOff>304800</xdr:colOff>
      <xdr:row>14</xdr:row>
      <xdr:rowOff>76200</xdr:rowOff>
    </xdr:to>
    <xdr:graphicFrame macro="">
      <xdr:nvGraphicFramePr>
        <xdr:cNvPr id="4" name="Chart 3">
          <a:extLst>
            <a:ext uri="{FF2B5EF4-FFF2-40B4-BE49-F238E27FC236}">
              <a16:creationId xmlns:a16="http://schemas.microsoft.com/office/drawing/2014/main" id="{6F78D0A4-90B3-4CE5-9DD7-09A0AB542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314325</xdr:colOff>
      <xdr:row>14</xdr:row>
      <xdr:rowOff>76200</xdr:rowOff>
    </xdr:from>
    <xdr:to>
      <xdr:col>15</xdr:col>
      <xdr:colOff>9525</xdr:colOff>
      <xdr:row>28</xdr:row>
      <xdr:rowOff>152400</xdr:rowOff>
    </xdr:to>
    <xdr:graphicFrame macro="">
      <xdr:nvGraphicFramePr>
        <xdr:cNvPr id="5" name="Chart 4">
          <a:extLst>
            <a:ext uri="{FF2B5EF4-FFF2-40B4-BE49-F238E27FC236}">
              <a16:creationId xmlns:a16="http://schemas.microsoft.com/office/drawing/2014/main" id="{647B9B2D-3FB4-4A8A-A5F1-431750E95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0</xdr:row>
      <xdr:rowOff>19050</xdr:rowOff>
    </xdr:from>
    <xdr:to>
      <xdr:col>8</xdr:col>
      <xdr:colOff>0</xdr:colOff>
      <xdr:row>1</xdr:row>
      <xdr:rowOff>95250</xdr:rowOff>
    </xdr:to>
    <xdr:sp macro="" textlink="">
      <xdr:nvSpPr>
        <xdr:cNvPr id="6" name="TextBox 5">
          <a:extLst>
            <a:ext uri="{FF2B5EF4-FFF2-40B4-BE49-F238E27FC236}">
              <a16:creationId xmlns:a16="http://schemas.microsoft.com/office/drawing/2014/main" id="{8C1AA286-FA85-22E7-D308-208A054A2B67}"/>
            </a:ext>
          </a:extLst>
        </xdr:cNvPr>
        <xdr:cNvSpPr txBox="1"/>
      </xdr:nvSpPr>
      <xdr:spPr>
        <a:xfrm>
          <a:off x="3657600" y="19050"/>
          <a:ext cx="12192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a:t>Sales Overview</a:t>
          </a:r>
          <a:endParaRPr lang="ru-RU" sz="1100"/>
        </a:p>
      </xdr:txBody>
    </xdr:sp>
    <xdr:clientData/>
  </xdr:twoCellAnchor>
  <xdr:twoCellAnchor editAs="oneCell">
    <xdr:from>
      <xdr:col>15</xdr:col>
      <xdr:colOff>0</xdr:colOff>
      <xdr:row>0</xdr:row>
      <xdr:rowOff>0</xdr:rowOff>
    </xdr:from>
    <xdr:to>
      <xdr:col>18</xdr:col>
      <xdr:colOff>0</xdr:colOff>
      <xdr:row>10</xdr:row>
      <xdr:rowOff>0</xdr:rowOff>
    </xdr:to>
    <mc:AlternateContent xmlns:mc="http://schemas.openxmlformats.org/markup-compatibility/2006">
      <mc:Choice xmlns:a14="http://schemas.microsoft.com/office/drawing/2010/main" Requires="a14">
        <xdr:graphicFrame macro="">
          <xdr:nvGraphicFramePr>
            <xdr:cNvPr id="7" name="category_name">
              <a:extLst>
                <a:ext uri="{FF2B5EF4-FFF2-40B4-BE49-F238E27FC236}">
                  <a16:creationId xmlns:a16="http://schemas.microsoft.com/office/drawing/2014/main" id="{1AAFEF38-606B-584B-8241-BC52EBD0B7CA}"/>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9144000" y="0"/>
              <a:ext cx="1828800" cy="1905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9</xdr:row>
      <xdr:rowOff>180975</xdr:rowOff>
    </xdr:from>
    <xdr:to>
      <xdr:col>18</xdr:col>
      <xdr:colOff>0</xdr:colOff>
      <xdr:row>17</xdr:row>
      <xdr:rowOff>85725</xdr:rowOff>
    </xdr:to>
    <mc:AlternateContent xmlns:mc="http://schemas.openxmlformats.org/markup-compatibility/2006">
      <mc:Choice xmlns:a14="http://schemas.microsoft.com/office/drawing/2010/main" Requires="a14">
        <xdr:graphicFrame macro="">
          <xdr:nvGraphicFramePr>
            <xdr:cNvPr id="8" name="payment_method">
              <a:extLst>
                <a:ext uri="{FF2B5EF4-FFF2-40B4-BE49-F238E27FC236}">
                  <a16:creationId xmlns:a16="http://schemas.microsoft.com/office/drawing/2014/main" id="{A5682B9E-D3B5-0AAC-8D44-F96402A88F9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9144000" y="1895475"/>
              <a:ext cx="1828800" cy="14287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cuments\data-analyst\Excel\day%2015-19.xlsx" TargetMode="External"/><Relationship Id="rId1" Type="http://schemas.openxmlformats.org/officeDocument/2006/relationships/externalLinkPath" Target="day%2015-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 val="categories"/>
      <sheetName val="Products"/>
      <sheetName val="Detail1"/>
      <sheetName val="Detail2"/>
      <sheetName val="Detail3"/>
      <sheetName val="customer_pivot_practice"/>
      <sheetName val="dashboard"/>
      <sheetName val="Product_pivot_practice"/>
      <sheetName val="category_pivot_practice"/>
      <sheetName val="Detail4"/>
      <sheetName val="payments_pivot_practice"/>
      <sheetName val="Orders"/>
      <sheetName val="Order_items"/>
      <sheetName val="Payments"/>
      <sheetName val="Practice"/>
    </sheetNames>
    <sheetDataSet>
      <sheetData sheetId="0"/>
      <sheetData sheetId="1">
        <row r="1">
          <cell r="A1" t="str">
            <v>category_id</v>
          </cell>
          <cell r="B1" t="str">
            <v>category_name</v>
          </cell>
        </row>
        <row r="2">
          <cell r="A2">
            <v>1</v>
          </cell>
          <cell r="B2" t="str">
            <v>Laptops</v>
          </cell>
        </row>
        <row r="3">
          <cell r="A3">
            <v>2</v>
          </cell>
          <cell r="B3" t="str">
            <v>Smartphones</v>
          </cell>
        </row>
        <row r="4">
          <cell r="A4">
            <v>3</v>
          </cell>
          <cell r="B4" t="str">
            <v>Accessories</v>
          </cell>
        </row>
        <row r="5">
          <cell r="A5">
            <v>4</v>
          </cell>
          <cell r="B5" t="str">
            <v>Monitors</v>
          </cell>
        </row>
        <row r="6">
          <cell r="A6">
            <v>5</v>
          </cell>
          <cell r="B6" t="str">
            <v>Gaming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4.574916087964" backgroundQuery="1" createdVersion="8" refreshedVersion="8" minRefreshableVersion="3" recordCount="0" supportSubquery="1" supportAdvancedDrill="1" xr:uid="{E27D82E0-38D7-49BF-810E-74B327C9BF41}">
  <cacheSource type="external" connectionId="1"/>
  <cacheFields count="2">
    <cacheField name="[tbl_products].[category_name].[category_name]" caption="category_name" numFmtId="0" hierarchy="27" level="1">
      <sharedItems count="5">
        <s v="Accessories"/>
        <s v="Gaming"/>
        <s v="Laptops"/>
        <s v="Monitors"/>
        <s v="Smartphones"/>
      </sharedItems>
    </cacheField>
    <cacheField name="[Measures].[Total Revenue]" caption="Total Revenue" numFmtId="0" hierarchy="29" level="32767"/>
  </cacheFields>
  <cacheHierarchies count="50">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0"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0"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0"/>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Total Revenue]" caption="Total Revenue" measure="1" displayFolder="" measureGroup="tbl_order_items" count="0" oneField="1">
      <fieldsUsage count="1">
        <fieldUsage x="1"/>
      </fieldsUsage>
    </cacheHierarchy>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y uniqueName="[Measures].[Sum of quantity]" caption="Sum of quantity" measure="1" displayFolder="" measureGroup="tbl_order_item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hidden="1">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hidden="1">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4.574916319441" createdVersion="5" refreshedVersion="8" minRefreshableVersion="3" recordCount="0" supportSubquery="1" supportAdvancedDrill="1" xr:uid="{99D2CCF6-1B97-445B-8562-47C4AA2C4009}">
  <cacheSource type="external" connectionId="1"/>
  <cacheFields count="3">
    <cacheField name="[Measures].[Total Orders]" caption="Total Orders" numFmtId="0" hierarchy="33" level="32767"/>
    <cacheField name="[tbl_payments].[payment_method].[payment_method]" caption="payment_method" numFmtId="0" hierarchy="20" level="1">
      <sharedItems count="3">
        <s v="Card"/>
        <s v="Cash"/>
        <s v="Transfer"/>
      </sharedItems>
    </cacheField>
    <cacheField name="[tbl_products].[category_name].[category_name]" caption="category_name" numFmtId="0" hierarchy="27" level="1">
      <sharedItems containsSemiMixedTypes="0" containsNonDate="0" containsString="0"/>
    </cacheField>
  </cacheFields>
  <cacheHierarchies count="50">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0"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fieldsUsage count="2">
        <fieldUsage x="-1"/>
        <fieldUsage x="1"/>
      </fieldsUsage>
    </cacheHierarchy>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2"/>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oneField="1">
      <fieldsUsage count="1">
        <fieldUsage x="0"/>
      </fieldsUsage>
    </cacheHierarchy>
    <cacheHierarchy uniqueName="[Measures].[Total Customers]" caption="Total Customers" measure="1" displayFolder="" measureGroup="tbl_customer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y uniqueName="[Measures].[Sum of quantity]" caption="Sum of quantity" measure="1" displayFolder="" measureGroup="tbl_order_item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hidden="1">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hidden="1">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4.574916666665" createdVersion="5" refreshedVersion="8" minRefreshableVersion="3" recordCount="0" supportSubquery="1" supportAdvancedDrill="1" xr:uid="{2389FE95-90D0-4758-9001-8F51191C6B1A}">
  <cacheSource type="external" connectionId="1"/>
  <cacheFields count="3">
    <cacheField name="[tbl_orders].[customer_id].[customer_id]" caption="customer_id" numFmtId="0" hierarchy="14"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tbl_orders].[customer_id].&amp;[1]"/>
            <x15:cachedUniqueName index="1" name="[tbl_orders].[customer_id].&amp;[2]"/>
            <x15:cachedUniqueName index="2" name="[tbl_orders].[customer_id].&amp;[3]"/>
            <x15:cachedUniqueName index="3" name="[tbl_orders].[customer_id].&amp;[4]"/>
            <x15:cachedUniqueName index="4" name="[tbl_orders].[customer_id].&amp;[5]"/>
            <x15:cachedUniqueName index="5" name="[tbl_orders].[customer_id].&amp;[6]"/>
          </x15:cachedUniqueNames>
        </ext>
      </extLst>
    </cacheField>
    <cacheField name="[Measures].[Total Revenue]" caption="Total Revenue" numFmtId="0" hierarchy="29" level="32767"/>
    <cacheField name="[tbl_products].[category_name].[category_name]" caption="category_name" numFmtId="0" hierarchy="27" level="1">
      <sharedItems containsSemiMixedTypes="0" containsNonDate="0" containsString="0"/>
    </cacheField>
  </cacheFields>
  <cacheHierarchies count="50">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2" memberValueDatatype="20" unbalanced="0">
      <fieldsUsage count="2">
        <fieldUsage x="-1"/>
        <fieldUsage x="0"/>
      </fieldsUsage>
    </cacheHierarchy>
    <cacheHierarchy uniqueName="[tbl_orders].[order_date]" caption="order_date" attribute="1" time="1" defaultMemberUniqueName="[tbl_orders].[order_date].[All]" allUniqueName="[tbl_orders].[order_date].[All]" dimensionUniqueName="[tbl_orders]" displayFolder="" count="0"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0"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2"/>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Total Revenue]" caption="Total Revenue" measure="1" displayFolder="" measureGroup="tbl_order_items" count="0" oneField="1">
      <fieldsUsage count="1">
        <fieldUsage x="1"/>
      </fieldsUsage>
    </cacheHierarchy>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y uniqueName="[Measures].[Sum of quantity]" caption="Sum of quantity" measure="1" displayFolder="" measureGroup="tbl_order_item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hidden="1">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hidden="1">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4.574916898149" createdVersion="5" refreshedVersion="8" minRefreshableVersion="3" recordCount="0" supportSubquery="1" supportAdvancedDrill="1" xr:uid="{6EC3A637-7DF8-4BE3-814E-4AEBD19972AF}">
  <cacheSource type="external" connectionId="1"/>
  <cacheFields count="2">
    <cacheField name="[tbl_products].[product_name].[product_name]" caption="product_name" numFmtId="0" hierarchy="24" level="1">
      <sharedItems count="10">
        <s v="Dell 27 Monitor"/>
        <s v="iPhone 15"/>
        <s v="LG Ultrawide"/>
        <s v="MacBook Air M3"/>
        <s v="Mechanical Keyboard"/>
        <s v="PlayStation 5"/>
        <s v="Samsung S24"/>
        <s v="ThinkPad T14"/>
        <s v="Wireless Mouse"/>
        <s v="Xbox Series X"/>
      </sharedItems>
    </cacheField>
    <cacheField name="[tbl_products].[category_name].[category_name]" caption="category_name" numFmtId="0" hierarchy="27" level="1">
      <sharedItems containsSemiMixedTypes="0" containsNonDate="0" containsString="0"/>
    </cacheField>
  </cacheFields>
  <cacheHierarchies count="50">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0"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0"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2" memberValueDatatype="130" unbalanced="0">
      <fieldsUsage count="2">
        <fieldUsage x="-1"/>
        <fieldUsage x="0"/>
      </fieldsUsage>
    </cacheHierarchy>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1"/>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y uniqueName="[Measures].[Sum of quantity]" caption="Sum of quantity" measure="1" displayFolder="" measureGroup="tbl_order_item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hidden="1">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hidden="1">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4.574917245372" createdVersion="5" refreshedVersion="8" minRefreshableVersion="3" recordCount="0" supportSubquery="1" supportAdvancedDrill="1" xr:uid="{73CBA4FC-E577-4871-B358-AB5903382C43}">
  <cacheSource type="external" connectionId="1"/>
  <cacheFields count="3">
    <cacheField name="[tbl_customers].[registration_date (Month)].[registration_date (Month)]" caption="registration_date (Month)" numFmtId="0" hierarchy="7" level="1">
      <sharedItems count="2">
        <s v="янв"/>
        <s v="фев"/>
      </sharedItems>
    </cacheField>
    <cacheField name="[Measures].[Total Revenue]" caption="Total Revenue" numFmtId="0" hierarchy="29" level="32767"/>
    <cacheField name="[tbl_products].[category_name].[category_name]" caption="category_name" numFmtId="0" hierarchy="27" level="1">
      <sharedItems containsSemiMixedTypes="0" containsNonDate="0" containsString="0"/>
    </cacheField>
  </cacheFields>
  <cacheHierarchies count="50">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2" memberValueDatatype="130" unbalanced="0">
      <fieldsUsage count="2">
        <fieldUsage x="-1"/>
        <fieldUsage x="0"/>
      </fieldsUsage>
    </cacheHierarchy>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0"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0"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2"/>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Total Revenue]" caption="Total Revenue" measure="1" displayFolder="" measureGroup="tbl_order_items" count="0" oneField="1">
      <fieldsUsage count="1">
        <fieldUsage x="1"/>
      </fieldsUsage>
    </cacheHierarchy>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y uniqueName="[Measures].[Sum of quantity]" caption="Sum of quantity" measure="1" displayFolder="" measureGroup="tbl_order_item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hidden="1">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hidden="1">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4.574917592596" backgroundQuery="1" createdVersion="8" refreshedVersion="8" minRefreshableVersion="3" recordCount="0" supportSubquery="1" supportAdvancedDrill="1" xr:uid="{5C78E44E-C625-4E18-A41F-363659475DB1}">
  <cacheSource type="external" connectionId="1"/>
  <cacheFields count="2">
    <cacheField name="[tbl_products].[category_name].[category_name]" caption="category_name" numFmtId="0" hierarchy="27" level="1">
      <sharedItems count="5">
        <s v="Accessories"/>
        <s v="Gaming"/>
        <s v="Laptops"/>
        <s v="Monitors"/>
        <s v="Smartphones"/>
      </sharedItems>
    </cacheField>
    <cacheField name="[Measures].[Average price]" caption="Average price" numFmtId="0" hierarchy="30" level="32767"/>
  </cacheFields>
  <cacheHierarchies count="50">
    <cacheHierarchy uniqueName="[tbl_customers].[customer_id]" caption="customer_id" attribute="1" defaultMemberUniqueName="[tbl_customers].[customer_id].[All]" allUniqueName="[tbl_customers].[customer_id].[All]" dimensionUniqueName="[tbl_customers]" displayFolder="" count="0" memberValueDatatype="20" unbalanced="0"/>
    <cacheHierarchy uniqueName="[tbl_customers].[first_name]" caption="first_name" attribute="1" defaultMemberUniqueName="[tbl_customers].[first_name].[All]" allUniqueName="[tbl_customers].[first_name].[All]" dimensionUniqueName="[tbl_customers]" displayFolder="" count="0" memberValueDatatype="130" unbalanced="0"/>
    <cacheHierarchy uniqueName="[tbl_customers].[last_name]" caption="last_name" attribute="1" defaultMemberUniqueName="[tbl_customers].[last_name].[All]" allUniqueName="[tbl_customers].[last_name].[All]" dimensionUniqueName="[tbl_customers]" displayFolder="" count="0" memberValueDatatype="130" unbalanced="0"/>
    <cacheHierarchy uniqueName="[tbl_customers].[city]" caption="city" attribute="1" defaultMemberUniqueName="[tbl_customers].[city].[All]" allUniqueName="[tbl_customers].[city].[All]" dimensionUniqueName="[tbl_customers]" displayFolder="" count="0"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0"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0"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0"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0" memberValueDatatype="130" unbalanced="0"/>
    <cacheHierarchy uniqueName="[tbl_order_items].[order_item_id]" caption="order_item_id" attribute="1" defaultMemberUniqueName="[tbl_order_items].[order_item_id].[All]" allUniqueName="[tbl_order_items].[order_item_id].[All]" dimensionUniqueName="[tbl_order_items]" displayFolder="" count="0" memberValueDatatype="20" unbalanced="0"/>
    <cacheHierarchy uniqueName="[tbl_order_items].[order_id]" caption="order_id" attribute="1" defaultMemberUniqueName="[tbl_order_items].[order_id].[All]" allUniqueName="[tbl_order_items].[order_id].[All]" dimensionUniqueName="[tbl_order_items]" displayFolder="" count="0" memberValueDatatype="20" unbalanced="0"/>
    <cacheHierarchy uniqueName="[tbl_order_items].[product_id]" caption="product_id" attribute="1" defaultMemberUniqueName="[tbl_order_items].[product_id].[All]" allUniqueName="[tbl_order_items].[product_id].[All]" dimensionUniqueName="[tbl_order_items]" displayFolder="" count="0" memberValueDatatype="20" unbalanced="0"/>
    <cacheHierarchy uniqueName="[tbl_order_items].[quantity]" caption="quantity" attribute="1" defaultMemberUniqueName="[tbl_order_items].[quantity].[All]" allUniqueName="[tbl_order_items].[quantity].[All]" dimensionUniqueName="[tbl_order_items]" displayFolder="" count="0" memberValueDatatype="20" unbalanced="0"/>
    <cacheHierarchy uniqueName="[tbl_order_items].[unit_price]" caption="unit_price" attribute="1" defaultMemberUniqueName="[tbl_order_items].[unit_price].[All]" allUniqueName="[tbl_order_items].[unit_price].[All]" dimensionUniqueName="[tbl_order_items]" displayFolder="" count="0" memberValueDatatype="20" unbalanced="0"/>
    <cacheHierarchy uniqueName="[tbl_orders].[order_id]" caption="order_id" attribute="1" defaultMemberUniqueName="[tbl_orders].[order_id].[All]" allUniqueName="[tbl_orders].[order_id].[All]" dimensionUniqueName="[tbl_orders]" displayFolder="" count="0" memberValueDatatype="20" unbalanced="0"/>
    <cacheHierarchy uniqueName="[tbl_orders].[customer_id]" caption="customer_id" attribute="1" defaultMemberUniqueName="[tbl_orders].[customer_id].[All]" allUniqueName="[tbl_orders].[customer_id].[All]" dimensionUniqueName="[tbl_orders]" displayFolder="" count="0" memberValueDatatype="20" unbalanced="0"/>
    <cacheHierarchy uniqueName="[tbl_orders].[order_date]" caption="order_date" attribute="1" time="1" defaultMemberUniqueName="[tbl_orders].[order_date].[All]" allUniqueName="[tbl_orders].[order_date].[All]" dimensionUniqueName="[tbl_orders]" displayFolder="" count="0" memberValueDatatype="7" unbalanced="0"/>
    <cacheHierarchy uniqueName="[tbl_orders].[status]" caption="status" attribute="1" defaultMemberUniqueName="[tbl_orders].[status].[All]" allUniqueName="[tbl_orders].[status].[All]" dimensionUniqueName="[tbl_orders]" displayFolder="" count="0" memberValueDatatype="130" unbalanced="0"/>
    <cacheHierarchy uniqueName="[tbl_orders].[amount]" caption="amount" attribute="1" defaultMemberUniqueName="[tbl_orders].[amount].[All]" allUniqueName="[tbl_orders].[amount].[All]" dimensionUniqueName="[tbl_orders]" displayFolder="" count="0" memberValueDatatype="130" unbalanced="0"/>
    <cacheHierarchy uniqueName="[tbl_payments].[payment_id]" caption="payment_id" attribute="1" defaultMemberUniqueName="[tbl_payments].[payment_id].[All]" allUniqueName="[tbl_payments].[payment_id].[All]" dimensionUniqueName="[tbl_payments]" displayFolder="" count="0" memberValueDatatype="20" unbalanced="0"/>
    <cacheHierarchy uniqueName="[tbl_payments].[order_id]" caption="order_id" attribute="1" defaultMemberUniqueName="[tbl_payments].[order_id].[All]" allUniqueName="[tbl_payments].[order_id].[All]" dimensionUniqueName="[tbl_payments]" displayFolder="" count="0" memberValueDatatype="20" unbalanced="0"/>
    <cacheHierarchy uniqueName="[tbl_payments].[payment_method]" caption="payment_method" attribute="1" defaultMemberUniqueName="[tbl_payments].[payment_method].[All]" allUniqueName="[tbl_payments].[payment_method].[All]" dimensionUniqueName="[tbl_payments]" displayFolder="" count="0" memberValueDatatype="130" unbalanced="0"/>
    <cacheHierarchy uniqueName="[tbl_payments].[payment_status]" caption="payment_status" attribute="1" defaultMemberUniqueName="[tbl_payments].[payment_status].[All]" allUniqueName="[tbl_payments].[payment_status].[All]" dimensionUniqueName="[tbl_payments]" displayFolder="" count="0" memberValueDatatype="130" unbalanced="0"/>
    <cacheHierarchy uniqueName="[tbl_payments].[payment_date]" caption="payment_date" attribute="1" time="1" defaultMemberUniqueName="[tbl_payments].[payment_date].[All]" allUniqueName="[tbl_payments].[payment_date].[All]" dimensionUniqueName="[tbl_payments]" displayFolder="" count="0" memberValueDatatype="7" unbalanced="0"/>
    <cacheHierarchy uniqueName="[tbl_products].[product_id]" caption="product_id" attribute="1" defaultMemberUniqueName="[tbl_products].[product_id].[All]" allUniqueName="[tbl_products].[product_id].[All]" dimensionUniqueName="[tbl_products]" displayFolder="" count="0" memberValueDatatype="20" unbalanced="0"/>
    <cacheHierarchy uniqueName="[tbl_products].[product_name]" caption="product_name" attribute="1" defaultMemberUniqueName="[tbl_products].[product_name].[All]" allUniqueName="[tbl_products].[product_name].[All]" dimensionUniqueName="[tbl_products]" displayFolder="" count="0" memberValueDatatype="130" unbalanced="0"/>
    <cacheHierarchy uniqueName="[tbl_products].[category_id]" caption="category_id" attribute="1" defaultMemberUniqueName="[tbl_products].[category_id].[All]" allUniqueName="[tbl_products].[category_id].[All]" dimensionUniqueName="[tbl_products]" displayFolder="" count="0" memberValueDatatype="20" unbalanced="0"/>
    <cacheHierarchy uniqueName="[tbl_products].[price]" caption="price" attribute="1" defaultMemberUniqueName="[tbl_products].[price].[All]" allUniqueName="[tbl_products].[price].[All]" dimensionUniqueName="[tbl_products]" displayFolder="" count="0"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fieldsUsage count="2">
        <fieldUsage x="-1"/>
        <fieldUsage x="0"/>
      </fieldsUsage>
    </cacheHierarchy>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0" memberValueDatatype="20" unbalanced="0" hidden="1"/>
    <cacheHierarchy uniqueName="[Measures].[Total Revenue]" caption="Total Revenue" measure="1" displayFolder="" measureGroup="tbl_order_items" count="0"/>
    <cacheHierarchy uniqueName="[Measures].[Average price]" caption="Average price" measure="1" displayFolder="" measureGroup="tbl_order_items" count="0" oneField="1">
      <fieldsUsage count="1">
        <fieldUsage x="1"/>
      </fieldsUsage>
    </cacheHierarchy>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y uniqueName="[Measures].[Sum of quantity]" caption="Sum of quantity" measure="1" displayFolder="" measureGroup="tbl_order_item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tbl_order_items" count="0" hidden="1">
      <extLst>
        <ext xmlns:x15="http://schemas.microsoft.com/office/spreadsheetml/2010/11/main" uri="{B97F6D7D-B522-45F9-BDA1-12C45D357490}">
          <x15:cacheHierarchy aggregatedColumn="12"/>
        </ext>
      </extLst>
    </cacheHierarchy>
    <cacheHierarchy uniqueName="[Measures].[Sum of customer_id]" caption="Sum of customer_id" measure="1" displayFolder="" measureGroup="tbl_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tbl_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tbl_product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tbl_product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tbl_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tbl_orders" count="0" hidden="1">
      <extLst>
        <ext xmlns:x15="http://schemas.microsoft.com/office/spreadsheetml/2010/11/main" uri="{B97F6D7D-B522-45F9-BDA1-12C45D357490}">
          <x15:cacheHierarchy aggregatedColumn="13"/>
        </ext>
      </extLst>
    </cacheHierarchy>
    <cacheHierarchy uniqueName="[Measures].[Sum of payment_id]" caption="Sum of payment_id" measure="1" displayFolder="" measureGroup="tbl_payment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4.57452141204" createdVersion="3" refreshedVersion="8" minRefreshableVersion="3" recordCount="0" supportSubquery="1" supportAdvancedDrill="1" xr:uid="{4B8F0912-7C11-4357-B553-AED0D4733E19}">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Measures]" caption="Measures" attribute="1" keyAttribute="1" defaultMemberUniqueName="[Measures].[__No measures defined]" dimensionUniqueName="[Measures]" displayFolder="" measures="1" count="1" memberValueDatatype="130" unbalanced="0"/>
    <cacheHierarchy uniqueName="[tbl_customers].[customer_id]" caption="customer_id" attribute="1" defaultMemberUniqueName="[tbl_customers].[customer_id].[All]" allUniqueName="[tbl_customers].[customer_id].[All]" dimensionUniqueName="[tbl_customers]" displayFolder="" count="2" memberValueDatatype="20" unbalanced="0"/>
    <cacheHierarchy uniqueName="[tbl_customers].[first_name]" caption="first_name" attribute="1" defaultMemberUniqueName="[tbl_customers].[first_name].[All]" allUniqueName="[tbl_customers].[first_name].[All]" dimensionUniqueName="[tbl_customers]" displayFolder="" count="2" memberValueDatatype="130" unbalanced="0"/>
    <cacheHierarchy uniqueName="[tbl_customers].[last_name]" caption="last_name" attribute="1" defaultMemberUniqueName="[tbl_customers].[last_name].[All]" allUniqueName="[tbl_customers].[last_name].[All]" dimensionUniqueName="[tbl_customers]" displayFolder="" count="2" memberValueDatatype="130" unbalanced="0"/>
    <cacheHierarchy uniqueName="[tbl_customers].[city]" caption="city" attribute="1" defaultMemberUniqueName="[tbl_customers].[city].[All]" allUniqueName="[tbl_customers].[city].[All]" dimensionUniqueName="[tbl_customers]" displayFolder="" count="2" memberValueDatatype="130" unbalanced="0"/>
    <cacheHierarchy uniqueName="[tbl_customers].[registration_date]" caption="registration_date" attribute="1" time="1" defaultMemberUniqueName="[tbl_customers].[registration_date].[All]" allUniqueName="[tbl_customers].[registration_date].[All]" dimensionUniqueName="[tbl_customers]" displayFolder="" count="2" memberValueDatatype="7" unbalanced="0"/>
    <cacheHierarchy uniqueName="[tbl_customers].[registration_date (Year)]" caption="registration_date (Year)" attribute="1" defaultMemberUniqueName="[tbl_customers].[registration_date (Year)].[All]" allUniqueName="[tbl_customers].[registration_date (Year)].[All]" dimensionUniqueName="[tbl_customers]" displayFolder="" count="2" memberValueDatatype="130" unbalanced="0"/>
    <cacheHierarchy uniqueName="[tbl_customers].[registration_date (Quarter)]" caption="registration_date (Quarter)" attribute="1" defaultMemberUniqueName="[tbl_customers].[registration_date (Quarter)].[All]" allUniqueName="[tbl_customers].[registration_date (Quarter)].[All]" dimensionUniqueName="[tbl_customers]" displayFolder="" count="2" memberValueDatatype="130" unbalanced="0"/>
    <cacheHierarchy uniqueName="[tbl_customers].[registration_date (Month)]" caption="registration_date (Month)" attribute="1" defaultMemberUniqueName="[tbl_customers].[registration_date (Month)].[All]" allUniqueName="[tbl_customers].[registration_date (Month)].[All]" dimensionUniqueName="[tbl_customers]" displayFolder="" count="2" memberValueDatatype="130" unbalanced="0"/>
    <cacheHierarchy uniqueName="[tbl_order_items].[order_item_id]" caption="order_item_id" attribute="1" defaultMemberUniqueName="[tbl_order_items].[order_item_id].[All]" allUniqueName="[tbl_order_items].[order_item_id].[All]" dimensionUniqueName="[tbl_order_items]" displayFolder="" count="2" memberValueDatatype="20" unbalanced="0"/>
    <cacheHierarchy uniqueName="[tbl_order_items].[order_id]" caption="order_id" attribute="1" defaultMemberUniqueName="[tbl_order_items].[order_id].[All]" allUniqueName="[tbl_order_items].[order_id].[All]" dimensionUniqueName="[tbl_order_items]" displayFolder="" count="2" memberValueDatatype="20" unbalanced="0"/>
    <cacheHierarchy uniqueName="[tbl_order_items].[product_id]" caption="product_id" attribute="1" defaultMemberUniqueName="[tbl_order_items].[product_id].[All]" allUniqueName="[tbl_order_items].[product_id].[All]" dimensionUniqueName="[tbl_order_items]" displayFolder="" count="2" memberValueDatatype="20" unbalanced="0"/>
    <cacheHierarchy uniqueName="[tbl_order_items].[quantity]" caption="quantity" attribute="1" defaultMemberUniqueName="[tbl_order_items].[quantity].[All]" allUniqueName="[tbl_order_items].[quantity].[All]" dimensionUniqueName="[tbl_order_items]" displayFolder="" count="2" memberValueDatatype="20" unbalanced="0"/>
    <cacheHierarchy uniqueName="[tbl_order_items].[unit_price]" caption="unit_price" attribute="1" defaultMemberUniqueName="[tbl_order_items].[unit_price].[All]" allUniqueName="[tbl_order_items].[unit_price].[All]" dimensionUniqueName="[tbl_order_items]" displayFolder="" count="2" memberValueDatatype="20" unbalanced="0"/>
    <cacheHierarchy uniqueName="[tbl_orders].[order_id]" caption="order_id" attribute="1" defaultMemberUniqueName="[tbl_orders].[order_id].[All]" allUniqueName="[tbl_orders].[order_id].[All]" dimensionUniqueName="[tbl_orders]" displayFolder="" count="2" memberValueDatatype="20" unbalanced="0"/>
    <cacheHierarchy uniqueName="[tbl_orders].[customer_id]" caption="customer_id" attribute="1" defaultMemberUniqueName="[tbl_orders].[customer_id].[All]" allUniqueName="[tbl_orders].[customer_id].[All]" dimensionUniqueName="[tbl_orders]" displayFolder="" count="2" memberValueDatatype="20" unbalanced="0"/>
    <cacheHierarchy uniqueName="[tbl_orders].[order_date]" caption="order_date" attribute="1" time="1" defaultMemberUniqueName="[tbl_orders].[order_date].[All]" allUniqueName="[tbl_orders].[order_date].[All]" dimensionUniqueName="[tbl_orders]" displayFolder="" count="2" memberValueDatatype="7" unbalanced="0"/>
    <cacheHierarchy uniqueName="[tbl_orders].[status]" caption="status" attribute="1" defaultMemberUniqueName="[tbl_orders].[status].[All]" allUniqueName="[tbl_orders].[status].[All]" dimensionUniqueName="[tbl_orders]" displayFolder="" count="2" memberValueDatatype="130" unbalanced="0"/>
    <cacheHierarchy uniqueName="[tbl_orders].[amount]" caption="amount" attribute="1" defaultMemberUniqueName="[tbl_orders].[amount].[All]" allUniqueName="[tbl_orders].[amount].[All]" dimensionUniqueName="[tbl_orders]" displayFolder="" count="2" memberValueDatatype="130" unbalanced="0"/>
    <cacheHierarchy uniqueName="[tbl_payments].[payment_id]" caption="payment_id" attribute="1" defaultMemberUniqueName="[tbl_payments].[payment_id].[All]" allUniqueName="[tbl_payments].[payment_id].[All]" dimensionUniqueName="[tbl_payments]" displayFolder="" count="2" memberValueDatatype="20" unbalanced="0"/>
    <cacheHierarchy uniqueName="[tbl_payments].[order_id]" caption="order_id" attribute="1" defaultMemberUniqueName="[tbl_payments].[order_id].[All]" allUniqueName="[tbl_payments].[order_id].[All]" dimensionUniqueName="[tbl_payments]" displayFolder="" count="2" memberValueDatatype="20" unbalanced="0"/>
    <cacheHierarchy uniqueName="[tbl_payments].[payment_method]" caption="payment_method" attribute="1" defaultMemberUniqueName="[tbl_payments].[payment_method].[All]" allUniqueName="[tbl_payments].[payment_method].[All]" dimensionUniqueName="[tbl_payments]" displayFolder="" count="2" memberValueDatatype="130" unbalanced="0"/>
    <cacheHierarchy uniqueName="[tbl_payments].[payment_status]" caption="payment_status" attribute="1" defaultMemberUniqueName="[tbl_payments].[payment_status].[All]" allUniqueName="[tbl_payments].[payment_status].[All]" dimensionUniqueName="[tbl_payments]" displayFolder="" count="2" memberValueDatatype="130" unbalanced="0"/>
    <cacheHierarchy uniqueName="[tbl_payments].[payment_date]" caption="payment_date" attribute="1" time="1" defaultMemberUniqueName="[tbl_payments].[payment_date].[All]" allUniqueName="[tbl_payments].[payment_date].[All]" dimensionUniqueName="[tbl_payments]" displayFolder="" count="2" memberValueDatatype="7" unbalanced="0"/>
    <cacheHierarchy uniqueName="[tbl_products].[product_id]" caption="product_id" attribute="1" defaultMemberUniqueName="[tbl_products].[product_id].[All]" allUniqueName="[tbl_products].[product_id].[All]" dimensionUniqueName="[tbl_products]" displayFolder="" count="2" memberValueDatatype="20" unbalanced="0"/>
    <cacheHierarchy uniqueName="[tbl_products].[product_name]" caption="product_name" attribute="1" defaultMemberUniqueName="[tbl_products].[product_name].[All]" allUniqueName="[tbl_products].[product_name].[All]" dimensionUniqueName="[tbl_products]" displayFolder="" count="2" memberValueDatatype="130" unbalanced="0"/>
    <cacheHierarchy uniqueName="[tbl_products].[category_id]" caption="category_id" attribute="1" defaultMemberUniqueName="[tbl_products].[category_id].[All]" allUniqueName="[tbl_products].[category_id].[All]" dimensionUniqueName="[tbl_products]" displayFolder="" count="2" memberValueDatatype="20" unbalanced="0"/>
    <cacheHierarchy uniqueName="[tbl_products].[price]" caption="price" attribute="1" defaultMemberUniqueName="[tbl_products].[price].[All]" allUniqueName="[tbl_products].[price].[All]" dimensionUniqueName="[tbl_products]" displayFolder="" count="2" memberValueDatatype="130" unbalanced="0"/>
    <cacheHierarchy uniqueName="[tbl_products].[category_name]" caption="category_name" attribute="1" defaultMemberUniqueName="[tbl_products].[category_name].[All]" allUniqueName="[tbl_products].[category_name].[All]" dimensionUniqueName="[tbl_products]" displayFolder="" count="2" memberValueDatatype="130" unbalanced="0"/>
    <cacheHierarchy uniqueName="[tbl_customers].[registration_date (Month Index)]" caption="registration_date (Month Index)" attribute="1" defaultMemberUniqueName="[tbl_customers].[registration_date (Month Index)].[All]" allUniqueName="[tbl_customers].[registration_date (Month Index)].[All]" dimensionUniqueName="[tbl_customers]" displayFolder="" count="2" memberValueDatatype="20" unbalanced="0" hidden="1"/>
    <cacheHierarchy uniqueName="[Measures].[Total Revenue]" caption="Total Revenue" measure="1" displayFolder="" measureGroup="tbl_order_items" count="0"/>
    <cacheHierarchy uniqueName="[Measures].[Average price]" caption="Average price" measure="1" displayFolder="" measureGroup="tbl_order_items" count="0"/>
    <cacheHierarchy uniqueName="[Measures].[Maximum price]" caption="Maximum price" measure="1" displayFolder="" measureGroup="tbl_order_items" count="0"/>
    <cacheHierarchy uniqueName="[Measures].[Minimum price]" caption="Minimum price" measure="1" displayFolder="" measureGroup="tbl_order_items" count="0"/>
    <cacheHierarchy uniqueName="[Measures].[Total Orders]" caption="Total Orders" measure="1" displayFolder="" measureGroup="tbl_order_items" count="0"/>
    <cacheHierarchy uniqueName="[Measures].[Total Customers]" caption="Total Customers" measure="1" displayFolder="" measureGroup="tbl_customers" count="0"/>
    <cacheHierarchy uniqueName="[Measures].[__XL_Count tbl_orders]" caption="__XL_Count tbl_orders" measure="1" displayFolder="" measureGroup="tbl_orders" count="0" hidden="1"/>
    <cacheHierarchy uniqueName="[Measures].[__XL_Count tbl_products]" caption="__XL_Count tbl_products" measure="1" displayFolder="" measureGroup="tbl_products" count="0" hidden="1"/>
    <cacheHierarchy uniqueName="[Measures].[__XL_Count tbl_order_items]" caption="__XL_Count tbl_order_items" measure="1" displayFolder="" measureGroup="tbl_order_items" count="0" hidden="1"/>
    <cacheHierarchy uniqueName="[Measures].[__XL_Count tbl_customers]" caption="__XL_Count tbl_customers" measure="1" displayFolder="" measureGroup="tbl_customers" count="0" hidden="1"/>
    <cacheHierarchy uniqueName="[Measures].[__XL_Count tbl_payments]" caption="__XL_Count tbl_payments" measure="1" displayFolder="" measureGroup="tbl_payments" count="0" hidden="1"/>
    <cacheHierarchy uniqueName="[Measures].[__No measures defined]" caption="__No measures defined" measure="1" displayFolder="" count="0" hidden="1"/>
    <cacheHierarchy uniqueName="[Measures].[Sum of quantity]" caption="Sum of quantity" measure="1" displayFolder="" measureGroup="tbl_order_items" count="0" hidden="1">
      <extLst>
        <ext xmlns:x15="http://schemas.microsoft.com/office/spreadsheetml/2010/11/main" uri="{B97F6D7D-B522-45F9-BDA1-12C45D357490}">
          <x15:cacheHierarchy aggregatedColumn="12"/>
        </ext>
      </extLst>
    </cacheHierarchy>
    <cacheHierarchy uniqueName="[Measures].[Sum of unit_price]" caption="Sum of unit_price" measure="1" displayFolder="" measureGroup="tbl_order_items" count="0" hidden="1">
      <extLst>
        <ext xmlns:x15="http://schemas.microsoft.com/office/spreadsheetml/2010/11/main" uri="{B97F6D7D-B522-45F9-BDA1-12C45D357490}">
          <x15:cacheHierarchy aggregatedColumn="13"/>
        </ext>
      </extLst>
    </cacheHierarchy>
    <cacheHierarchy uniqueName="[Measures].[Sum of customer_id]" caption="Sum of customer_id" measure="1" displayFolder="" measureGroup="tbl_customers"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bl_orders" count="0" hidden="1">
      <extLst>
        <ext xmlns:x15="http://schemas.microsoft.com/office/spreadsheetml/2010/11/main" uri="{B97F6D7D-B522-45F9-BDA1-12C45D357490}">
          <x15:cacheHierarchy aggregatedColumn="15"/>
        </ext>
      </extLst>
    </cacheHierarchy>
    <cacheHierarchy uniqueName="[Measures].[Sum of product_id]" caption="Sum of product_id" measure="1" displayFolder="" measureGroup="tbl_products" count="0" hidden="1">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tbl_product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tbl_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tbl_orders" count="0" hidden="1">
      <extLst>
        <ext xmlns:x15="http://schemas.microsoft.com/office/spreadsheetml/2010/11/main" uri="{B97F6D7D-B522-45F9-BDA1-12C45D357490}">
          <x15:cacheHierarchy aggregatedColumn="14"/>
        </ext>
      </extLst>
    </cacheHierarchy>
    <cacheHierarchy uniqueName="[Measures].[Sum of payment_id]" caption="Sum of payment_id" measure="1" displayFolder="" measureGroup="tbl_payments" count="0" hidden="1">
      <extLst>
        <ext xmlns:x15="http://schemas.microsoft.com/office/spreadsheetml/2010/11/main" uri="{B97F6D7D-B522-45F9-BDA1-12C45D357490}">
          <x15:cacheHierarchy aggregatedColumn="19"/>
        </ext>
      </extLst>
    </cacheHierarchy>
  </cacheHierarchies>
  <kpis count="0"/>
  <dimensions count="6">
    <dimension measure="1" name="Measures" uniqueName="[Measures]" caption="Measures"/>
    <dimension name="tbl_customers" uniqueName="[tbl_customers]" caption="tbl_customers"/>
    <dimension name="tbl_order_items" uniqueName="[tbl_order_items]" caption="tbl_order_items"/>
    <dimension name="tbl_orders" uniqueName="[tbl_orders]" caption="tbl_orders"/>
    <dimension name="tbl_payments" uniqueName="[tbl_payments]" caption="tbl_payments"/>
    <dimension name="tbl_products" uniqueName="[tbl_products]" caption="tbl_products"/>
  </dimensions>
  <measureGroups count="5">
    <measureGroup name="tbl_customers" caption="tbl_customers"/>
    <measureGroup name="tbl_order_items" caption="tbl_order_items"/>
    <measureGroup name="tbl_orders" caption="tbl_orders"/>
    <measureGroup name="tbl_payments" caption="tbl_payments"/>
    <measureGroup name="tbl_products" caption="tbl_products"/>
  </measureGroups>
  <maps count="11">
    <map measureGroup="0" dimension="1"/>
    <map measureGroup="1" dimension="1"/>
    <map measureGroup="1" dimension="2"/>
    <map measureGroup="1" dimension="3"/>
    <map measureGroup="1" dimension="4"/>
    <map measureGroup="1" dimension="5"/>
    <map measureGroup="2" dimension="1"/>
    <map measureGroup="2" dimension="3"/>
    <map measureGroup="2" dimension="4"/>
    <map measureGroup="3" dimension="4"/>
    <map measureGroup="4" dimension="5"/>
  </maps>
  <extLst>
    <ext xmlns:x14="http://schemas.microsoft.com/office/spreadsheetml/2009/9/main" uri="{725AE2AE-9491-48be-B2B4-4EB974FC3084}">
      <x14:pivotCacheDefinition slicerData="1" pivotCacheId="4580430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D2C17A-B87C-4D9E-9C66-941FEE9C828F}" name="PivotTable6" cacheId="458" applyNumberFormats="0" applyBorderFormats="0" applyFontFormats="0" applyPatternFormats="0" applyAlignmentFormats="0" applyWidthHeightFormats="1" dataCaption="Values" tag="46f186c6-b712-435d-b32f-06c93d5d7bf2" updatedVersion="8" minRefreshableVersion="3" useAutoFormatting="1" subtotalHiddenItems="1" itemPrintTitles="1" createdVersion="8" indent="0" outline="1" outlineData="1" multipleFieldFilters="0" chartFormat="29">
  <location ref="D10:E1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CDBF5F-F570-43F3-9FAE-57A98B92E319}" name="PivotTable2" cacheId="446" applyNumberFormats="0" applyBorderFormats="0" applyFontFormats="0" applyPatternFormats="0" applyAlignmentFormats="0" applyWidthHeightFormats="1" dataCaption="Values" tag="ac69d31f-02fc-4ad6-88ad-dc2029f31478" updatedVersion="8" minRefreshableVersion="3" useAutoFormatting="1" itemPrintTitles="1" createdVersion="5" indent="0" outline="1" outlineData="1" multipleFieldFilters="0" chartFormat="10">
  <location ref="H17:I2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ayments]"/>
        <x15:activeTabTopLevelEntity name="[tbl_order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490DA3-354E-4D51-97A9-5CFD61FC40CC}" name="PivotTable5" cacheId="455" applyNumberFormats="0" applyBorderFormats="0" applyFontFormats="0" applyPatternFormats="0" applyAlignmentFormats="0" applyWidthHeightFormats="1" dataCaption="Values" tag="fc27e566-5a2c-4d59-a4d1-b6c500ce5426" updatedVersion="8" minRefreshableVersion="3" useAutoFormatting="1" itemPrintTitles="1" createdVersion="5" indent="0" outline="1" outlineData="1" multipleFieldFilters="0">
  <location ref="A11:B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AD56CB-7B64-4F29-8879-9340AD0AB854}" name="PivotTable4" cacheId="452" applyNumberFormats="0" applyBorderFormats="0" applyFontFormats="0" applyPatternFormats="0" applyAlignmentFormats="0" applyWidthHeightFormats="1" dataCaption="Values" tag="0991709a-943d-4413-b4d5-b2afdcf9d7df" updatedVersion="8" minRefreshableVersion="3" useAutoFormatting="1" itemPrintTitles="1" createdVersion="5" indent="0" outline="1" outlineData="1" multipleFieldFilters="0">
  <location ref="H1:H12"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rder_items]"/>
        <x15:activeTabTopLevelEntity name="[tbl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960904-8782-4372-9D64-66CB3848DCA5}" name="PivotTable3" cacheId="449" applyNumberFormats="0" applyBorderFormats="0" applyFontFormats="0" applyPatternFormats="0" applyAlignmentFormats="0" applyWidthHeightFormats="1" dataCaption="Values" tag="b0f4d88d-04f1-4b03-a3c3-29ae5a4343fc" updatedVersion="8" minRefreshableVersion="3" useAutoFormatting="1" itemPrintTitles="1" createdVersion="5" indent="0" outline="1" outlineData="1" multipleFieldFilters="0" chartFormat="13">
  <location ref="E1:F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order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0FCA38-5089-4786-8B24-53263B39D8A9}" name="PivotTable1" cacheId="443" applyNumberFormats="0" applyBorderFormats="0" applyFontFormats="0" applyPatternFormats="0" applyAlignmentFormats="0" applyWidthHeightFormats="1" dataCaption="Values" tag="c5b26d39-e844-492b-af89-7c2fd29d8685" updatedVersion="8" minRefreshableVersion="3" useAutoFormatting="1" subtotalHiddenItems="1" itemPrintTitles="1" createdVersion="8" indent="0" outline="1" outlineData="1" multipleFieldFilters="0" chartFormat="14">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7">
    <chartFormat chart="3"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10" format="10">
      <pivotArea type="data" outline="0" fieldPosition="0">
        <references count="2">
          <reference field="4294967294" count="1" selected="0">
            <x v="0"/>
          </reference>
          <reference field="0" count="1" selected="0">
            <x v="2"/>
          </reference>
        </references>
      </pivotArea>
    </chartFormat>
    <chartFormat chart="10" format="11">
      <pivotArea type="data" outline="0" fieldPosition="0">
        <references count="2">
          <reference field="4294967294" count="1" selected="0">
            <x v="0"/>
          </reference>
          <reference field="0" count="1" selected="0">
            <x v="3"/>
          </reference>
        </references>
      </pivotArea>
    </chartFormat>
    <chartFormat chart="10" format="12">
      <pivotArea type="data" outline="0" fieldPosition="0">
        <references count="2">
          <reference field="4294967294" count="1" selected="0">
            <x v="0"/>
          </reference>
          <reference field="0" count="1" selected="0">
            <x v="4"/>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roducts]"/>
        <x15:activeTabTopLevelEntity name="[tbl_order_ite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5EEBC96A-6701-41E0-8363-423C69C4F29D}" sourceName="[tbl_products].[category_name]">
  <pivotTables>
    <pivotTable tabId="6" name="PivotTable1"/>
    <pivotTable tabId="6" name="PivotTable2"/>
    <pivotTable tabId="6" name="PivotTable3"/>
    <pivotTable tabId="6" name="PivotTable4"/>
    <pivotTable tabId="6" name="PivotTable5"/>
    <pivotTable tabId="6" name="PivotTable6"/>
  </pivotTables>
  <data>
    <olap pivotCacheId="458043081">
      <levels count="2">
        <level uniqueName="[tbl_products].[category_name].[(All)]" sourceCaption="(All)" count="0"/>
        <level uniqueName="[tbl_products].[category_name].[category_name]" sourceCaption="category_name" count="5">
          <ranges>
            <range startItem="0">
              <i n="[tbl_products].[category_name].&amp;[Accessories]" c="Accessories"/>
              <i n="[tbl_products].[category_name].&amp;[Gaming]" c="Gaming"/>
              <i n="[tbl_products].[category_name].&amp;[Laptops]" c="Laptops"/>
              <i n="[tbl_products].[category_name].&amp;[Monitors]" c="Monitors"/>
              <i n="[tbl_products].[category_name].&amp;[Smartphones]" c="Smartphones"/>
            </range>
          </ranges>
        </level>
      </levels>
      <selections count="1">
        <selection n="[tbl_products].[category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810171B-371D-43CD-A26F-AB3BFB34042B}" sourceName="[tbl_payments].[payment_method]">
  <data>
    <olap pivotCacheId="458043081">
      <levels count="2">
        <level uniqueName="[tbl_payments].[payment_method].[(All)]" sourceCaption="(All)" count="0"/>
        <level uniqueName="[tbl_payments].[payment_method].[payment_method]" sourceCaption="payment_method" count="3">
          <ranges>
            <range startItem="0">
              <i n="[tbl_payments].[payment_method].&amp;[Card]" c="Card"/>
              <i n="[tbl_payments].[payment_method].&amp;[Cash]" c="Cash"/>
              <i n="[tbl_payments].[payment_method].&amp;[Transfer]" c="Transfer"/>
            </range>
          </ranges>
        </level>
      </levels>
      <selections count="1">
        <selection n="[tbl_payments].[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F19EA627-872C-47B0-8FB5-A8C621A231A6}" cache="Slicer_category_name" caption="category_name" level="1" rowHeight="257175"/>
  <slicer name="payment_method" xr10:uid="{0B018360-FDCC-470C-A4E2-2418AF160EE4}" cache="Slicer_payment_method" caption="payment_method"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48C97D-285D-4E22-B236-FD93737CE069}" name="tbl_orders" displayName="tbl_orders" ref="A1:E9" totalsRowShown="0" headerRowDxfId="26" tableBorderDxfId="25">
  <autoFilter ref="A1:E9" xr:uid="{D648C97D-285D-4E22-B236-FD93737CE069}"/>
  <tableColumns count="5">
    <tableColumn id="1" xr3:uid="{9B66FCB2-0AB2-4117-B2E3-B97A553D8B6A}" name="order_id" dataDxfId="24"/>
    <tableColumn id="2" xr3:uid="{C2918280-87CC-4C4E-8688-C0564F3881EC}" name="customer_id" dataDxfId="23"/>
    <tableColumn id="3" xr3:uid="{C3BD7344-8816-45B1-92B7-B6E423DAB10A}" name="order_date" dataDxfId="22"/>
    <tableColumn id="4" xr3:uid="{1C859FE5-D8F2-4487-8DCD-656F2E05AD84}" name="status" dataDxfId="21"/>
    <tableColumn id="5" xr3:uid="{9A26F45D-03A6-4FF1-913C-30E45F759BD0}" name="amount"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92C4FA-4552-4425-A77F-896AC7CF8A55}" name="tbl_products" displayName="tbl_products" ref="A1:E11" totalsRowShown="0" headerRowDxfId="19" headerRowBorderDxfId="18" tableBorderDxfId="17" totalsRowBorderDxfId="16">
  <autoFilter ref="A1:E11" xr:uid="{3692C4FA-4552-4425-A77F-896AC7CF8A55}"/>
  <tableColumns count="5">
    <tableColumn id="1" xr3:uid="{E4437895-982C-4498-826C-7C5B3368175E}" name="product_id" dataDxfId="15"/>
    <tableColumn id="2" xr3:uid="{537E4777-82B3-4058-9F16-F97E1F47907F}" name="product_name" dataDxfId="14"/>
    <tableColumn id="3" xr3:uid="{FD9F81E5-A26A-4B2B-87C7-DBDA0C588AF3}" name="category_id" dataDxfId="13"/>
    <tableColumn id="4" xr3:uid="{C0785B46-606B-4C38-80AD-86B8A1EBEB08}" name="price" dataDxfId="12"/>
    <tableColumn id="5" xr3:uid="{8DCCD0C3-6C9C-4EBD-BEC9-1AA43DFFD404}" name="category_name" dataDxfId="11">
      <calculatedColumnFormula>_xlfn.XLOOKUP(C2,[1]categories!A:A, [1]categories!B:B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A52AB4-0C10-4AE8-BC95-E019F9BF6897}" name="tbl_payments" displayName="tbl_payments" ref="A1:E9" totalsRowShown="0">
  <autoFilter ref="A1:E9" xr:uid="{48A52AB4-0C10-4AE8-BC95-E019F9BF6897}"/>
  <tableColumns count="5">
    <tableColumn id="1" xr3:uid="{BD34A596-EEB3-45A2-AA31-E89120137ACC}" name="payment_id"/>
    <tableColumn id="2" xr3:uid="{4B24AABC-0A9E-43AE-851C-AD7F8276E997}" name="order_id"/>
    <tableColumn id="3" xr3:uid="{4AC637ED-32A1-42C1-85FC-E57724A6C0B3}" name="payment_method"/>
    <tableColumn id="4" xr3:uid="{5AAE4130-D862-4293-A8D7-078474268A2C}" name="payment_status"/>
    <tableColumn id="5" xr3:uid="{7E42C725-0DA3-4877-9D95-D41E71DBD8A4}" name="payment_date"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8774C6-ACDA-4699-8D42-507BA0E60092}" name="tbl_order_items" displayName="tbl_order_items" ref="A1:E10" totalsRowShown="0" headerRowDxfId="9" dataDxfId="7" headerRowBorderDxfId="8" tableBorderDxfId="6" totalsRowBorderDxfId="5">
  <autoFilter ref="A1:E10" xr:uid="{A38774C6-ACDA-4699-8D42-507BA0E60092}"/>
  <tableColumns count="5">
    <tableColumn id="1" xr3:uid="{BBB0DB5B-5F32-4E21-925F-7F1908A67688}" name="order_item_id" dataDxfId="4"/>
    <tableColumn id="2" xr3:uid="{B622EC25-FF23-47E2-AA4A-2B96B700703C}" name="order_id" dataDxfId="3"/>
    <tableColumn id="3" xr3:uid="{DABE83D8-32B5-42E8-89FB-962B2255FE22}" name="product_id" dataDxfId="2"/>
    <tableColumn id="4" xr3:uid="{76AFC147-3B58-46D4-8C33-0A621B59E873}" name="quantity" dataDxfId="1"/>
    <tableColumn id="5" xr3:uid="{3D4C0CC8-9187-476C-8567-01B3B5B5FFB1}" name="unit_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306920-D4FC-452D-A4F1-CFBF727129CB}" name="tbl_customers" displayName="tbl_customers" ref="A1:E40" totalsRowShown="0">
  <autoFilter ref="A1:E40" xr:uid="{78306920-D4FC-452D-A4F1-CFBF727129CB}"/>
  <sortState xmlns:xlrd2="http://schemas.microsoft.com/office/spreadsheetml/2017/richdata2" ref="A2:E40">
    <sortCondition descending="1" ref="E1:E40"/>
  </sortState>
  <tableColumns count="5">
    <tableColumn id="1" xr3:uid="{DFC558EE-0028-4115-BD61-D790CBF923A2}" name="customer_id"/>
    <tableColumn id="2" xr3:uid="{7E342FFF-286D-446B-B14B-7D6A963349B0}" name="first_name"/>
    <tableColumn id="3" xr3:uid="{42CF1194-0BD6-49F7-B7D9-83AD317B5026}" name="last_name"/>
    <tableColumn id="4" xr3:uid="{3D9FB82A-5D7E-49F5-BFFB-5256ACDAE203}" name="city"/>
    <tableColumn id="5" xr3:uid="{BD27D049-E7A1-413F-B534-88DB7F141E18}" name="registration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4A89-8F51-4C63-9F62-79803AC68153}">
  <dimension ref="A1:E9"/>
  <sheetViews>
    <sheetView workbookViewId="0">
      <selection activeCell="G15" sqref="G15"/>
    </sheetView>
  </sheetViews>
  <sheetFormatPr defaultRowHeight="15" x14ac:dyDescent="0.25"/>
  <cols>
    <col min="3" max="3" width="10.140625" bestFit="1" customWidth="1"/>
  </cols>
  <sheetData>
    <row r="1" spans="1:5" x14ac:dyDescent="0.25">
      <c r="A1" s="1" t="s">
        <v>0</v>
      </c>
      <c r="B1" s="1" t="s">
        <v>1</v>
      </c>
      <c r="C1" s="1" t="s">
        <v>2</v>
      </c>
      <c r="D1" s="1" t="s">
        <v>3</v>
      </c>
      <c r="E1" s="1" t="s">
        <v>4</v>
      </c>
    </row>
    <row r="2" spans="1:5" x14ac:dyDescent="0.25">
      <c r="A2" s="2">
        <v>6</v>
      </c>
      <c r="B2" s="2">
        <v>1</v>
      </c>
      <c r="C2" s="3">
        <v>45379</v>
      </c>
      <c r="D2" s="2" t="s">
        <v>5</v>
      </c>
      <c r="E2" s="2">
        <v>0</v>
      </c>
    </row>
    <row r="3" spans="1:5" x14ac:dyDescent="0.25">
      <c r="A3" s="4">
        <v>7</v>
      </c>
      <c r="B3" s="4">
        <v>2</v>
      </c>
      <c r="C3" s="5">
        <v>45392</v>
      </c>
      <c r="D3" s="4" t="s">
        <v>6</v>
      </c>
      <c r="E3" s="4">
        <v>0</v>
      </c>
    </row>
    <row r="4" spans="1:5" x14ac:dyDescent="0.25">
      <c r="A4" s="2">
        <v>8</v>
      </c>
      <c r="B4" s="2">
        <v>6</v>
      </c>
      <c r="C4" s="3">
        <v>45411</v>
      </c>
      <c r="D4" s="2" t="s">
        <v>5</v>
      </c>
      <c r="E4" s="2">
        <v>0</v>
      </c>
    </row>
    <row r="5" spans="1:5" x14ac:dyDescent="0.25">
      <c r="A5" s="4">
        <v>1</v>
      </c>
      <c r="B5" s="4">
        <v>1</v>
      </c>
      <c r="C5" s="5">
        <v>45296</v>
      </c>
      <c r="D5" s="4" t="s">
        <v>5</v>
      </c>
      <c r="E5" s="4" t="s">
        <v>7</v>
      </c>
    </row>
    <row r="6" spans="1:5" x14ac:dyDescent="0.25">
      <c r="A6" s="2">
        <v>2</v>
      </c>
      <c r="B6" s="2">
        <v>2</v>
      </c>
      <c r="C6" s="3">
        <v>45308</v>
      </c>
      <c r="D6" s="2" t="s">
        <v>5</v>
      </c>
      <c r="E6" s="2" t="s">
        <v>8</v>
      </c>
    </row>
    <row r="7" spans="1:5" x14ac:dyDescent="0.25">
      <c r="A7" s="4">
        <v>3</v>
      </c>
      <c r="B7" s="4">
        <v>3</v>
      </c>
      <c r="C7" s="5">
        <v>45325</v>
      </c>
      <c r="D7" s="4" t="s">
        <v>5</v>
      </c>
      <c r="E7" s="4" t="s">
        <v>9</v>
      </c>
    </row>
    <row r="8" spans="1:5" x14ac:dyDescent="0.25">
      <c r="A8" s="2">
        <v>4</v>
      </c>
      <c r="B8" s="2">
        <v>4</v>
      </c>
      <c r="C8" s="3">
        <v>45347</v>
      </c>
      <c r="D8" s="2" t="s">
        <v>10</v>
      </c>
      <c r="E8" s="2" t="s">
        <v>11</v>
      </c>
    </row>
    <row r="9" spans="1:5" x14ac:dyDescent="0.25">
      <c r="A9" s="4">
        <v>5</v>
      </c>
      <c r="B9" s="4">
        <v>5</v>
      </c>
      <c r="C9" s="5">
        <v>45363</v>
      </c>
      <c r="D9" s="4" t="s">
        <v>5</v>
      </c>
      <c r="E9" s="4"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C5F3-A9F4-4B35-81A0-EC0A347C693C}">
  <dimension ref="A1:E11"/>
  <sheetViews>
    <sheetView workbookViewId="0">
      <selection activeCell="H11" sqref="H11"/>
    </sheetView>
  </sheetViews>
  <sheetFormatPr defaultRowHeight="15" x14ac:dyDescent="0.25"/>
  <cols>
    <col min="1" max="1" width="12.7109375" customWidth="1"/>
    <col min="2" max="2" width="17.140625" customWidth="1"/>
    <col min="3" max="3" width="15.140625" customWidth="1"/>
    <col min="4" max="4" width="11.7109375" customWidth="1"/>
    <col min="5" max="5" width="16.7109375" customWidth="1"/>
  </cols>
  <sheetData>
    <row r="1" spans="1:5" x14ac:dyDescent="0.25">
      <c r="A1" s="10" t="s">
        <v>89</v>
      </c>
      <c r="B1" s="10" t="s">
        <v>90</v>
      </c>
      <c r="C1" s="10" t="s">
        <v>91</v>
      </c>
      <c r="D1" s="11" t="s">
        <v>92</v>
      </c>
      <c r="E1" s="10" t="s">
        <v>93</v>
      </c>
    </row>
    <row r="2" spans="1:5" x14ac:dyDescent="0.25">
      <c r="A2" s="6">
        <v>1</v>
      </c>
      <c r="B2" s="6" t="s">
        <v>83</v>
      </c>
      <c r="C2" s="6">
        <v>1</v>
      </c>
      <c r="D2" s="8" t="s">
        <v>108</v>
      </c>
      <c r="E2" s="6" t="str">
        <f>_xlfn.XLOOKUP(C2,[1]categories!A:A, [1]categories!B:B )</f>
        <v>Laptops</v>
      </c>
    </row>
    <row r="3" spans="1:5" x14ac:dyDescent="0.25">
      <c r="A3" s="7">
        <v>2</v>
      </c>
      <c r="B3" s="7" t="s">
        <v>84</v>
      </c>
      <c r="C3" s="7">
        <v>1</v>
      </c>
      <c r="D3" s="9" t="s">
        <v>109</v>
      </c>
      <c r="E3" s="7" t="str">
        <f>_xlfn.XLOOKUP(C3,[1]categories!A:A, [1]categories!B:B )</f>
        <v>Laptops</v>
      </c>
    </row>
    <row r="4" spans="1:5" x14ac:dyDescent="0.25">
      <c r="A4" s="6">
        <v>3</v>
      </c>
      <c r="B4" s="6" t="s">
        <v>85</v>
      </c>
      <c r="C4" s="6">
        <v>2</v>
      </c>
      <c r="D4" s="8" t="s">
        <v>110</v>
      </c>
      <c r="E4" s="6" t="str">
        <f>_xlfn.XLOOKUP(C4,[1]categories!A:A, [1]categories!B:B )</f>
        <v>Smartphones</v>
      </c>
    </row>
    <row r="5" spans="1:5" x14ac:dyDescent="0.25">
      <c r="A5" s="7">
        <v>4</v>
      </c>
      <c r="B5" s="7" t="s">
        <v>86</v>
      </c>
      <c r="C5" s="7">
        <v>2</v>
      </c>
      <c r="D5" s="9" t="s">
        <v>111</v>
      </c>
      <c r="E5" s="7" t="str">
        <f>_xlfn.XLOOKUP(C5,[1]categories!A:A, [1]categories!B:B )</f>
        <v>Smartphones</v>
      </c>
    </row>
    <row r="6" spans="1:5" x14ac:dyDescent="0.25">
      <c r="A6" s="6">
        <v>5</v>
      </c>
      <c r="B6" s="6" t="s">
        <v>112</v>
      </c>
      <c r="C6" s="6">
        <v>3</v>
      </c>
      <c r="D6" s="8" t="s">
        <v>113</v>
      </c>
      <c r="E6" s="6" t="str">
        <f>_xlfn.XLOOKUP(C6,[1]categories!A:A, [1]categories!B:B )</f>
        <v>Accessories</v>
      </c>
    </row>
    <row r="7" spans="1:5" x14ac:dyDescent="0.25">
      <c r="A7" s="4">
        <v>6</v>
      </c>
      <c r="B7" s="4" t="s">
        <v>114</v>
      </c>
      <c r="C7" s="4">
        <v>3</v>
      </c>
      <c r="D7" s="12" t="s">
        <v>115</v>
      </c>
      <c r="E7" s="4" t="str">
        <f>_xlfn.XLOOKUP(C7,[1]categories!A:A, [1]categories!B:B )</f>
        <v>Accessories</v>
      </c>
    </row>
    <row r="8" spans="1:5" x14ac:dyDescent="0.25">
      <c r="A8" s="7">
        <v>7</v>
      </c>
      <c r="B8" s="7" t="s">
        <v>116</v>
      </c>
      <c r="C8" s="7">
        <v>4</v>
      </c>
      <c r="D8" s="9" t="s">
        <v>117</v>
      </c>
      <c r="E8" s="7" t="str">
        <f>_xlfn.XLOOKUP(C8,[1]categories!A:A, [1]categories!B:B )</f>
        <v>Monitors</v>
      </c>
    </row>
    <row r="9" spans="1:5" x14ac:dyDescent="0.25">
      <c r="A9" s="7">
        <v>8</v>
      </c>
      <c r="B9" s="7" t="s">
        <v>118</v>
      </c>
      <c r="C9" s="7">
        <v>4</v>
      </c>
      <c r="D9" s="9" t="s">
        <v>119</v>
      </c>
      <c r="E9" s="7" t="str">
        <f>_xlfn.XLOOKUP(C9,[1]categories!A:A, [1]categories!B:B )</f>
        <v>Monitors</v>
      </c>
    </row>
    <row r="10" spans="1:5" x14ac:dyDescent="0.25">
      <c r="A10" s="7">
        <v>9</v>
      </c>
      <c r="B10" s="7" t="s">
        <v>87</v>
      </c>
      <c r="C10" s="7">
        <v>5</v>
      </c>
      <c r="D10" s="9" t="s">
        <v>120</v>
      </c>
      <c r="E10" s="7" t="str">
        <f>_xlfn.XLOOKUP(C10,[1]categories!A:A, [1]categories!B:B )</f>
        <v>Gaming</v>
      </c>
    </row>
    <row r="11" spans="1:5" x14ac:dyDescent="0.25">
      <c r="A11" s="4">
        <v>10</v>
      </c>
      <c r="B11" s="4" t="s">
        <v>88</v>
      </c>
      <c r="C11" s="4">
        <v>5</v>
      </c>
      <c r="D11" s="12" t="s">
        <v>121</v>
      </c>
      <c r="E11" s="4" t="str">
        <f>_xlfn.XLOOKUP(C11,[1]categories!A:A, [1]categories!B:B )</f>
        <v>Gaming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95A2-4B36-44A5-8040-80C80661D370}">
  <dimension ref="A1:E9"/>
  <sheetViews>
    <sheetView workbookViewId="0">
      <selection activeCell="D26" sqref="D26"/>
    </sheetView>
  </sheetViews>
  <sheetFormatPr defaultRowHeight="15" x14ac:dyDescent="0.25"/>
  <cols>
    <col min="3" max="3" width="25.7109375" customWidth="1"/>
    <col min="4" max="4" width="18.7109375" customWidth="1"/>
    <col min="5" max="5" width="17.85546875" customWidth="1"/>
  </cols>
  <sheetData>
    <row r="1" spans="1:5" x14ac:dyDescent="0.25">
      <c r="A1" t="s">
        <v>124</v>
      </c>
      <c r="B1" t="s">
        <v>0</v>
      </c>
      <c r="C1" t="s">
        <v>125</v>
      </c>
      <c r="D1" t="s">
        <v>126</v>
      </c>
      <c r="E1" t="s">
        <v>127</v>
      </c>
    </row>
    <row r="2" spans="1:5" x14ac:dyDescent="0.25">
      <c r="A2">
        <v>1</v>
      </c>
      <c r="B2">
        <v>1</v>
      </c>
      <c r="C2" t="s">
        <v>128</v>
      </c>
      <c r="D2" t="s">
        <v>129</v>
      </c>
      <c r="E2" s="14">
        <v>45296</v>
      </c>
    </row>
    <row r="3" spans="1:5" x14ac:dyDescent="0.25">
      <c r="A3">
        <v>2</v>
      </c>
      <c r="B3">
        <v>2</v>
      </c>
      <c r="C3" t="s">
        <v>130</v>
      </c>
      <c r="D3" t="s">
        <v>129</v>
      </c>
      <c r="E3" s="14">
        <v>45303</v>
      </c>
    </row>
    <row r="4" spans="1:5" x14ac:dyDescent="0.25">
      <c r="A4">
        <v>3</v>
      </c>
      <c r="B4">
        <v>3</v>
      </c>
      <c r="C4" t="s">
        <v>128</v>
      </c>
      <c r="D4" t="s">
        <v>129</v>
      </c>
      <c r="E4" s="14">
        <v>45324</v>
      </c>
    </row>
    <row r="5" spans="1:5" x14ac:dyDescent="0.25">
      <c r="A5">
        <v>4</v>
      </c>
      <c r="B5">
        <v>4</v>
      </c>
      <c r="C5" t="s">
        <v>131</v>
      </c>
      <c r="D5" t="s">
        <v>129</v>
      </c>
      <c r="E5" s="14">
        <v>45340</v>
      </c>
    </row>
    <row r="6" spans="1:5" x14ac:dyDescent="0.25">
      <c r="A6">
        <v>5</v>
      </c>
      <c r="B6">
        <v>5</v>
      </c>
      <c r="C6" t="s">
        <v>128</v>
      </c>
      <c r="D6" t="s">
        <v>6</v>
      </c>
      <c r="E6" s="14">
        <v>45361</v>
      </c>
    </row>
    <row r="7" spans="1:5" x14ac:dyDescent="0.25">
      <c r="A7">
        <v>6</v>
      </c>
      <c r="B7">
        <v>6</v>
      </c>
      <c r="C7" t="s">
        <v>130</v>
      </c>
      <c r="D7" t="s">
        <v>129</v>
      </c>
      <c r="E7" s="14">
        <v>45376</v>
      </c>
    </row>
    <row r="8" spans="1:5" x14ac:dyDescent="0.25">
      <c r="A8">
        <v>7</v>
      </c>
      <c r="B8">
        <v>7</v>
      </c>
      <c r="C8" t="s">
        <v>131</v>
      </c>
      <c r="D8" t="s">
        <v>129</v>
      </c>
      <c r="E8" s="14">
        <v>45394</v>
      </c>
    </row>
    <row r="9" spans="1:5" x14ac:dyDescent="0.25">
      <c r="A9">
        <v>8</v>
      </c>
      <c r="B9">
        <v>8</v>
      </c>
      <c r="C9" t="s">
        <v>128</v>
      </c>
      <c r="D9" t="s">
        <v>129</v>
      </c>
      <c r="E9" s="14">
        <v>45410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5C5D1-6669-425E-A668-DAE912D6FDAD}">
  <dimension ref="A1:E10"/>
  <sheetViews>
    <sheetView workbookViewId="0">
      <selection activeCell="H6" sqref="H6"/>
    </sheetView>
  </sheetViews>
  <sheetFormatPr defaultRowHeight="15" x14ac:dyDescent="0.25"/>
  <cols>
    <col min="1" max="1" width="15.5703125" customWidth="1"/>
    <col min="2" max="2" width="10.5703125" customWidth="1"/>
    <col min="3" max="3" width="12.7109375" customWidth="1"/>
    <col min="4" max="4" width="10.5703125" customWidth="1"/>
    <col min="5" max="5" width="12.140625" customWidth="1"/>
    <col min="6" max="6" width="10.85546875" customWidth="1"/>
  </cols>
  <sheetData>
    <row r="1" spans="1:5" x14ac:dyDescent="0.25">
      <c r="A1" s="10" t="s">
        <v>94</v>
      </c>
      <c r="B1" s="10" t="s">
        <v>0</v>
      </c>
      <c r="C1" s="10" t="s">
        <v>89</v>
      </c>
      <c r="D1" s="10" t="s">
        <v>95</v>
      </c>
      <c r="E1" s="11" t="s">
        <v>96</v>
      </c>
    </row>
    <row r="2" spans="1:5" x14ac:dyDescent="0.25">
      <c r="A2" s="6">
        <v>1</v>
      </c>
      <c r="B2" s="6">
        <v>1</v>
      </c>
      <c r="C2" s="6">
        <v>1</v>
      </c>
      <c r="D2" s="6">
        <v>1</v>
      </c>
      <c r="E2" s="8">
        <v>1200</v>
      </c>
    </row>
    <row r="3" spans="1:5" x14ac:dyDescent="0.25">
      <c r="A3" s="7">
        <v>2</v>
      </c>
      <c r="B3" s="7">
        <v>1</v>
      </c>
      <c r="C3" s="7">
        <v>5</v>
      </c>
      <c r="D3" s="7">
        <v>1</v>
      </c>
      <c r="E3" s="9">
        <v>120</v>
      </c>
    </row>
    <row r="4" spans="1:5" x14ac:dyDescent="0.25">
      <c r="A4" s="6">
        <v>3</v>
      </c>
      <c r="B4" s="6">
        <v>2</v>
      </c>
      <c r="C4" s="6">
        <v>3</v>
      </c>
      <c r="D4" s="6">
        <v>1</v>
      </c>
      <c r="E4" s="8">
        <v>999</v>
      </c>
    </row>
    <row r="5" spans="1:5" x14ac:dyDescent="0.25">
      <c r="A5" s="7">
        <v>4</v>
      </c>
      <c r="B5" s="7">
        <v>3</v>
      </c>
      <c r="C5" s="7">
        <v>7</v>
      </c>
      <c r="D5" s="7">
        <v>2</v>
      </c>
      <c r="E5" s="9">
        <v>280</v>
      </c>
    </row>
    <row r="6" spans="1:5" x14ac:dyDescent="0.25">
      <c r="A6" s="6">
        <v>5</v>
      </c>
      <c r="B6" s="6">
        <v>4</v>
      </c>
      <c r="C6" s="6">
        <v>4</v>
      </c>
      <c r="D6" s="6">
        <v>1</v>
      </c>
      <c r="E6" s="8">
        <v>950</v>
      </c>
    </row>
    <row r="7" spans="1:5" x14ac:dyDescent="0.25">
      <c r="A7" s="7">
        <v>6</v>
      </c>
      <c r="B7" s="7">
        <v>5</v>
      </c>
      <c r="C7" s="7">
        <v>9</v>
      </c>
      <c r="D7" s="7">
        <v>1</v>
      </c>
      <c r="E7" s="9">
        <v>550</v>
      </c>
    </row>
    <row r="8" spans="1:5" x14ac:dyDescent="0.25">
      <c r="A8" s="6">
        <v>7</v>
      </c>
      <c r="B8" s="6">
        <v>6</v>
      </c>
      <c r="C8" s="6">
        <v>6</v>
      </c>
      <c r="D8" s="6">
        <v>2</v>
      </c>
      <c r="E8" s="8">
        <v>50</v>
      </c>
    </row>
    <row r="9" spans="1:5" x14ac:dyDescent="0.25">
      <c r="A9" s="7">
        <v>8</v>
      </c>
      <c r="B9" s="7">
        <v>7</v>
      </c>
      <c r="C9" s="7">
        <v>2</v>
      </c>
      <c r="D9" s="7">
        <v>1</v>
      </c>
      <c r="E9" s="9">
        <v>1100</v>
      </c>
    </row>
    <row r="10" spans="1:5" x14ac:dyDescent="0.25">
      <c r="A10" s="2">
        <v>9</v>
      </c>
      <c r="B10" s="2">
        <v>8</v>
      </c>
      <c r="C10" s="2">
        <v>10</v>
      </c>
      <c r="D10" s="2">
        <v>1</v>
      </c>
      <c r="E10" s="13">
        <v>530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2B53F-AAB3-4891-8EFC-86002FD094E2}">
  <dimension ref="A1:E40"/>
  <sheetViews>
    <sheetView workbookViewId="0">
      <selection activeCell="K8" sqref="K8"/>
    </sheetView>
  </sheetViews>
  <sheetFormatPr defaultRowHeight="15" x14ac:dyDescent="0.25"/>
  <cols>
    <col min="1" max="1" width="15.85546875" customWidth="1"/>
    <col min="2" max="2" width="14.7109375" customWidth="1"/>
    <col min="3" max="3" width="12.28515625" customWidth="1"/>
    <col min="5" max="5" width="19.28515625" customWidth="1"/>
  </cols>
  <sheetData>
    <row r="1" spans="1:5" x14ac:dyDescent="0.25">
      <c r="A1" t="s">
        <v>1</v>
      </c>
      <c r="B1" t="s">
        <v>97</v>
      </c>
      <c r="C1" t="s">
        <v>98</v>
      </c>
      <c r="D1" t="s">
        <v>99</v>
      </c>
      <c r="E1" s="14" t="s">
        <v>100</v>
      </c>
    </row>
    <row r="2" spans="1:5" x14ac:dyDescent="0.25">
      <c r="A2">
        <v>39</v>
      </c>
      <c r="B2" t="s">
        <v>13</v>
      </c>
      <c r="C2" t="s">
        <v>14</v>
      </c>
      <c r="D2" t="s">
        <v>15</v>
      </c>
      <c r="E2" s="14">
        <v>45313</v>
      </c>
    </row>
    <row r="3" spans="1:5" x14ac:dyDescent="0.25">
      <c r="A3">
        <v>38</v>
      </c>
      <c r="B3" t="s">
        <v>16</v>
      </c>
      <c r="C3" t="s">
        <v>17</v>
      </c>
      <c r="D3" t="s">
        <v>18</v>
      </c>
      <c r="E3" s="14">
        <v>45311</v>
      </c>
    </row>
    <row r="4" spans="1:5" x14ac:dyDescent="0.25">
      <c r="A4">
        <v>37</v>
      </c>
      <c r="B4" t="s">
        <v>19</v>
      </c>
      <c r="C4" t="s">
        <v>20</v>
      </c>
      <c r="D4" t="s">
        <v>21</v>
      </c>
      <c r="E4" s="14">
        <v>45308</v>
      </c>
    </row>
    <row r="5" spans="1:5" x14ac:dyDescent="0.25">
      <c r="A5">
        <v>36</v>
      </c>
      <c r="B5" t="s">
        <v>22</v>
      </c>
      <c r="C5" t="s">
        <v>23</v>
      </c>
      <c r="D5" t="s">
        <v>24</v>
      </c>
      <c r="E5" s="14">
        <v>45306</v>
      </c>
    </row>
    <row r="6" spans="1:5" x14ac:dyDescent="0.25">
      <c r="A6">
        <v>35</v>
      </c>
      <c r="B6" t="s">
        <v>25</v>
      </c>
      <c r="C6" t="s">
        <v>26</v>
      </c>
      <c r="D6" t="s">
        <v>27</v>
      </c>
      <c r="E6" s="14">
        <v>45305</v>
      </c>
    </row>
    <row r="7" spans="1:5" x14ac:dyDescent="0.25">
      <c r="A7">
        <v>34</v>
      </c>
      <c r="B7" t="s">
        <v>28</v>
      </c>
      <c r="C7" t="s">
        <v>29</v>
      </c>
      <c r="D7" t="s">
        <v>30</v>
      </c>
      <c r="E7" s="14">
        <v>45303</v>
      </c>
    </row>
    <row r="8" spans="1:5" x14ac:dyDescent="0.25">
      <c r="A8">
        <v>33</v>
      </c>
      <c r="B8" t="s">
        <v>31</v>
      </c>
      <c r="C8" t="s">
        <v>32</v>
      </c>
      <c r="D8" t="s">
        <v>33</v>
      </c>
      <c r="E8" s="14">
        <v>45301</v>
      </c>
    </row>
    <row r="9" spans="1:5" x14ac:dyDescent="0.25">
      <c r="A9">
        <v>32</v>
      </c>
      <c r="B9" t="s">
        <v>34</v>
      </c>
      <c r="C9" t="s">
        <v>35</v>
      </c>
      <c r="D9" t="s">
        <v>15</v>
      </c>
      <c r="E9" s="14">
        <v>45298</v>
      </c>
    </row>
    <row r="10" spans="1:5" x14ac:dyDescent="0.25">
      <c r="A10">
        <v>31</v>
      </c>
      <c r="B10" t="s">
        <v>36</v>
      </c>
      <c r="C10" t="s">
        <v>37</v>
      </c>
      <c r="D10" t="s">
        <v>38</v>
      </c>
      <c r="E10" s="14">
        <v>45296</v>
      </c>
    </row>
    <row r="11" spans="1:5" x14ac:dyDescent="0.25">
      <c r="A11">
        <v>30</v>
      </c>
      <c r="B11" t="s">
        <v>39</v>
      </c>
      <c r="C11" t="s">
        <v>40</v>
      </c>
      <c r="D11" t="s">
        <v>21</v>
      </c>
      <c r="E11" s="14">
        <v>45029</v>
      </c>
    </row>
    <row r="12" spans="1:5" x14ac:dyDescent="0.25">
      <c r="A12">
        <v>29</v>
      </c>
      <c r="B12" t="s">
        <v>41</v>
      </c>
      <c r="C12" t="s">
        <v>42</v>
      </c>
      <c r="D12" t="s">
        <v>33</v>
      </c>
      <c r="E12" s="14">
        <v>45026</v>
      </c>
    </row>
    <row r="13" spans="1:5" x14ac:dyDescent="0.25">
      <c r="A13">
        <v>28</v>
      </c>
      <c r="B13" t="s">
        <v>43</v>
      </c>
      <c r="C13" t="s">
        <v>44</v>
      </c>
      <c r="D13" t="s">
        <v>30</v>
      </c>
      <c r="E13" s="14">
        <v>45024</v>
      </c>
    </row>
    <row r="14" spans="1:5" x14ac:dyDescent="0.25">
      <c r="A14">
        <v>27</v>
      </c>
      <c r="B14" t="s">
        <v>45</v>
      </c>
      <c r="C14" t="s">
        <v>46</v>
      </c>
      <c r="D14" t="s">
        <v>24</v>
      </c>
      <c r="E14" s="14">
        <v>45020</v>
      </c>
    </row>
    <row r="15" spans="1:5" x14ac:dyDescent="0.25">
      <c r="A15">
        <v>26</v>
      </c>
      <c r="B15" t="s">
        <v>47</v>
      </c>
      <c r="C15" t="s">
        <v>48</v>
      </c>
      <c r="D15" t="s">
        <v>27</v>
      </c>
      <c r="E15" s="14">
        <v>45017</v>
      </c>
    </row>
    <row r="16" spans="1:5" x14ac:dyDescent="0.25">
      <c r="A16">
        <v>25</v>
      </c>
      <c r="B16" t="s">
        <v>49</v>
      </c>
      <c r="C16" t="s">
        <v>50</v>
      </c>
      <c r="D16" t="s">
        <v>51</v>
      </c>
      <c r="E16" s="14">
        <v>45013</v>
      </c>
    </row>
    <row r="17" spans="1:5" x14ac:dyDescent="0.25">
      <c r="A17">
        <v>24</v>
      </c>
      <c r="B17" t="s">
        <v>52</v>
      </c>
      <c r="C17" t="s">
        <v>53</v>
      </c>
      <c r="D17" t="s">
        <v>18</v>
      </c>
      <c r="E17" s="14">
        <v>45010</v>
      </c>
    </row>
    <row r="18" spans="1:5" x14ac:dyDescent="0.25">
      <c r="A18">
        <v>23</v>
      </c>
      <c r="B18" t="s">
        <v>54</v>
      </c>
      <c r="C18" t="s">
        <v>55</v>
      </c>
      <c r="D18" t="s">
        <v>56</v>
      </c>
      <c r="E18" s="14">
        <v>45007</v>
      </c>
    </row>
    <row r="19" spans="1:5" x14ac:dyDescent="0.25">
      <c r="A19">
        <v>22</v>
      </c>
      <c r="B19" t="s">
        <v>57</v>
      </c>
      <c r="C19" t="s">
        <v>58</v>
      </c>
      <c r="D19" t="s">
        <v>38</v>
      </c>
      <c r="E19" s="14">
        <v>45005</v>
      </c>
    </row>
    <row r="20" spans="1:5" x14ac:dyDescent="0.25">
      <c r="A20">
        <v>21</v>
      </c>
      <c r="B20" t="s">
        <v>59</v>
      </c>
      <c r="C20" t="s">
        <v>60</v>
      </c>
      <c r="D20" t="s">
        <v>15</v>
      </c>
      <c r="E20" s="14">
        <v>45003</v>
      </c>
    </row>
    <row r="21" spans="1:5" x14ac:dyDescent="0.25">
      <c r="A21">
        <v>20</v>
      </c>
      <c r="B21" t="s">
        <v>61</v>
      </c>
      <c r="C21" t="s">
        <v>62</v>
      </c>
      <c r="D21" t="s">
        <v>21</v>
      </c>
      <c r="E21" s="14">
        <v>45000</v>
      </c>
    </row>
    <row r="22" spans="1:5" x14ac:dyDescent="0.25">
      <c r="A22">
        <v>19</v>
      </c>
      <c r="B22" t="s">
        <v>63</v>
      </c>
      <c r="C22" t="s">
        <v>64</v>
      </c>
      <c r="D22" t="s">
        <v>33</v>
      </c>
      <c r="E22" s="14">
        <v>44997</v>
      </c>
    </row>
    <row r="23" spans="1:5" x14ac:dyDescent="0.25">
      <c r="A23">
        <v>18</v>
      </c>
      <c r="B23" t="s">
        <v>65</v>
      </c>
      <c r="C23" t="s">
        <v>66</v>
      </c>
      <c r="D23" t="s">
        <v>30</v>
      </c>
      <c r="E23" s="14">
        <v>44995</v>
      </c>
    </row>
    <row r="24" spans="1:5" x14ac:dyDescent="0.25">
      <c r="A24">
        <v>17</v>
      </c>
      <c r="B24" t="s">
        <v>67</v>
      </c>
      <c r="C24" t="s">
        <v>68</v>
      </c>
      <c r="D24" t="s">
        <v>24</v>
      </c>
      <c r="E24" s="14">
        <v>44992</v>
      </c>
    </row>
    <row r="25" spans="1:5" x14ac:dyDescent="0.25">
      <c r="A25">
        <v>16</v>
      </c>
      <c r="B25" t="s">
        <v>69</v>
      </c>
      <c r="C25" t="s">
        <v>70</v>
      </c>
      <c r="D25" t="s">
        <v>27</v>
      </c>
      <c r="E25" s="14">
        <v>44988</v>
      </c>
    </row>
    <row r="26" spans="1:5" x14ac:dyDescent="0.25">
      <c r="A26">
        <v>15</v>
      </c>
      <c r="B26" t="s">
        <v>71</v>
      </c>
      <c r="C26" t="s">
        <v>72</v>
      </c>
      <c r="D26" t="s">
        <v>51</v>
      </c>
      <c r="E26" s="14">
        <v>44986</v>
      </c>
    </row>
    <row r="27" spans="1:5" x14ac:dyDescent="0.25">
      <c r="A27">
        <v>14</v>
      </c>
      <c r="B27" t="s">
        <v>73</v>
      </c>
      <c r="C27" t="s">
        <v>74</v>
      </c>
      <c r="D27" t="s">
        <v>18</v>
      </c>
      <c r="E27" s="14">
        <v>44982</v>
      </c>
    </row>
    <row r="28" spans="1:5" x14ac:dyDescent="0.25">
      <c r="A28">
        <v>13</v>
      </c>
      <c r="B28" t="s">
        <v>75</v>
      </c>
      <c r="C28" t="s">
        <v>76</v>
      </c>
      <c r="D28" t="s">
        <v>56</v>
      </c>
      <c r="E28" s="14">
        <v>44979</v>
      </c>
    </row>
    <row r="29" spans="1:5" x14ac:dyDescent="0.25">
      <c r="A29">
        <v>12</v>
      </c>
      <c r="B29" t="s">
        <v>77</v>
      </c>
      <c r="C29" t="s">
        <v>78</v>
      </c>
      <c r="D29" t="s">
        <v>38</v>
      </c>
      <c r="E29" s="14">
        <v>44977</v>
      </c>
    </row>
    <row r="30" spans="1:5" x14ac:dyDescent="0.25">
      <c r="A30">
        <v>11</v>
      </c>
      <c r="B30" t="s">
        <v>79</v>
      </c>
      <c r="C30" t="s">
        <v>80</v>
      </c>
      <c r="D30" t="s">
        <v>15</v>
      </c>
      <c r="E30" s="14">
        <v>44975</v>
      </c>
    </row>
    <row r="31" spans="1:5" x14ac:dyDescent="0.25">
      <c r="A31">
        <v>10</v>
      </c>
      <c r="B31" t="s">
        <v>81</v>
      </c>
      <c r="C31" t="s">
        <v>82</v>
      </c>
      <c r="D31" t="s">
        <v>21</v>
      </c>
      <c r="E31" s="14">
        <v>44971</v>
      </c>
    </row>
    <row r="32" spans="1:5" x14ac:dyDescent="0.25">
      <c r="A32">
        <v>9</v>
      </c>
      <c r="B32" t="s">
        <v>13</v>
      </c>
      <c r="C32" t="s">
        <v>14</v>
      </c>
      <c r="D32" t="s">
        <v>33</v>
      </c>
      <c r="E32" s="14">
        <v>44968</v>
      </c>
    </row>
    <row r="33" spans="1:5" x14ac:dyDescent="0.25">
      <c r="A33">
        <v>8</v>
      </c>
      <c r="B33" t="s">
        <v>16</v>
      </c>
      <c r="C33" t="s">
        <v>17</v>
      </c>
      <c r="D33" t="s">
        <v>30</v>
      </c>
      <c r="E33" s="14">
        <v>44964</v>
      </c>
    </row>
    <row r="34" spans="1:5" x14ac:dyDescent="0.25">
      <c r="A34">
        <v>7</v>
      </c>
      <c r="B34" t="s">
        <v>19</v>
      </c>
      <c r="C34" t="s">
        <v>20</v>
      </c>
      <c r="D34" t="s">
        <v>24</v>
      </c>
      <c r="E34" s="14">
        <v>44962</v>
      </c>
    </row>
    <row r="35" spans="1:5" x14ac:dyDescent="0.25">
      <c r="A35">
        <v>6</v>
      </c>
      <c r="B35" t="s">
        <v>22</v>
      </c>
      <c r="C35" t="s">
        <v>23</v>
      </c>
      <c r="D35" t="s">
        <v>27</v>
      </c>
      <c r="E35" s="14">
        <v>44958</v>
      </c>
    </row>
    <row r="36" spans="1:5" x14ac:dyDescent="0.25">
      <c r="A36">
        <v>5</v>
      </c>
      <c r="B36" t="s">
        <v>25</v>
      </c>
      <c r="C36" t="s">
        <v>26</v>
      </c>
      <c r="D36" t="s">
        <v>51</v>
      </c>
      <c r="E36" s="14">
        <v>44954</v>
      </c>
    </row>
    <row r="37" spans="1:5" x14ac:dyDescent="0.25">
      <c r="A37">
        <v>4</v>
      </c>
      <c r="B37" t="s">
        <v>28</v>
      </c>
      <c r="C37" t="s">
        <v>29</v>
      </c>
      <c r="D37" t="s">
        <v>18</v>
      </c>
      <c r="E37" s="14">
        <v>44949</v>
      </c>
    </row>
    <row r="38" spans="1:5" x14ac:dyDescent="0.25">
      <c r="A38">
        <v>3</v>
      </c>
      <c r="B38" t="s">
        <v>31</v>
      </c>
      <c r="C38" t="s">
        <v>32</v>
      </c>
      <c r="D38" t="s">
        <v>56</v>
      </c>
      <c r="E38" s="14">
        <v>44947</v>
      </c>
    </row>
    <row r="39" spans="1:5" x14ac:dyDescent="0.25">
      <c r="A39">
        <v>2</v>
      </c>
      <c r="B39" t="s">
        <v>34</v>
      </c>
      <c r="C39" t="s">
        <v>35</v>
      </c>
      <c r="D39" t="s">
        <v>15</v>
      </c>
      <c r="E39" s="14">
        <v>44944</v>
      </c>
    </row>
    <row r="40" spans="1:5" x14ac:dyDescent="0.25">
      <c r="A40">
        <v>1</v>
      </c>
      <c r="B40" t="s">
        <v>36</v>
      </c>
      <c r="C40" t="s">
        <v>37</v>
      </c>
      <c r="D40" t="s">
        <v>38</v>
      </c>
      <c r="E40" s="14">
        <v>44941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349E9-8483-4CE0-B6C3-B9DF104D3FC4}">
  <dimension ref="A1:I21"/>
  <sheetViews>
    <sheetView topLeftCell="A10" workbookViewId="0">
      <selection activeCell="J34" sqref="J34"/>
    </sheetView>
  </sheetViews>
  <sheetFormatPr defaultRowHeight="15" x14ac:dyDescent="0.25"/>
  <cols>
    <col min="1" max="1" width="13.42578125" bestFit="1" customWidth="1"/>
    <col min="2" max="3" width="14" bestFit="1" customWidth="1"/>
    <col min="4" max="4" width="13.42578125" bestFit="1" customWidth="1"/>
    <col min="5" max="5" width="13.28515625" bestFit="1" customWidth="1"/>
    <col min="6" max="6" width="14" bestFit="1" customWidth="1"/>
    <col min="7" max="7" width="13.42578125" bestFit="1" customWidth="1"/>
    <col min="8" max="8" width="20.28515625" bestFit="1" customWidth="1"/>
    <col min="9" max="9" width="12" bestFit="1" customWidth="1"/>
    <col min="10" max="10" width="13.28515625" bestFit="1" customWidth="1"/>
    <col min="11" max="39" width="16.85546875" bestFit="1" customWidth="1"/>
    <col min="40" max="40" width="11.28515625" bestFit="1" customWidth="1"/>
  </cols>
  <sheetData>
    <row r="1" spans="1:8" x14ac:dyDescent="0.25">
      <c r="A1" s="15" t="s">
        <v>101</v>
      </c>
      <c r="B1" t="s">
        <v>132</v>
      </c>
      <c r="E1" s="15" t="s">
        <v>101</v>
      </c>
      <c r="F1" t="s">
        <v>132</v>
      </c>
      <c r="H1" s="15" t="s">
        <v>101</v>
      </c>
    </row>
    <row r="2" spans="1:8" x14ac:dyDescent="0.25">
      <c r="A2" s="16" t="s">
        <v>122</v>
      </c>
      <c r="B2" s="17">
        <v>220</v>
      </c>
      <c r="E2" s="16">
        <v>1</v>
      </c>
      <c r="F2" s="17">
        <v>1420</v>
      </c>
      <c r="H2" s="16" t="s">
        <v>116</v>
      </c>
    </row>
    <row r="3" spans="1:8" x14ac:dyDescent="0.25">
      <c r="A3" s="16" t="s">
        <v>102</v>
      </c>
      <c r="B3" s="17">
        <v>1080</v>
      </c>
      <c r="E3" s="16">
        <v>2</v>
      </c>
      <c r="F3" s="17">
        <v>2099</v>
      </c>
      <c r="H3" s="16" t="s">
        <v>85</v>
      </c>
    </row>
    <row r="4" spans="1:8" x14ac:dyDescent="0.25">
      <c r="A4" s="16" t="s">
        <v>103</v>
      </c>
      <c r="B4" s="17">
        <v>2300</v>
      </c>
      <c r="E4" s="16">
        <v>3</v>
      </c>
      <c r="F4" s="17">
        <v>560</v>
      </c>
      <c r="H4" s="16" t="s">
        <v>118</v>
      </c>
    </row>
    <row r="5" spans="1:8" x14ac:dyDescent="0.25">
      <c r="A5" s="16" t="s">
        <v>123</v>
      </c>
      <c r="B5" s="17">
        <v>560</v>
      </c>
      <c r="E5" s="16">
        <v>4</v>
      </c>
      <c r="F5" s="17">
        <v>950</v>
      </c>
      <c r="H5" s="16" t="s">
        <v>83</v>
      </c>
    </row>
    <row r="6" spans="1:8" x14ac:dyDescent="0.25">
      <c r="A6" s="16" t="s">
        <v>104</v>
      </c>
      <c r="B6" s="17">
        <v>1949</v>
      </c>
      <c r="E6" s="16">
        <v>5</v>
      </c>
      <c r="F6" s="17">
        <v>550</v>
      </c>
      <c r="H6" s="16" t="s">
        <v>112</v>
      </c>
    </row>
    <row r="7" spans="1:8" x14ac:dyDescent="0.25">
      <c r="A7" s="16" t="s">
        <v>105</v>
      </c>
      <c r="B7" s="17">
        <v>6109</v>
      </c>
      <c r="E7" s="16">
        <v>6</v>
      </c>
      <c r="F7" s="17">
        <v>530</v>
      </c>
      <c r="H7" s="16" t="s">
        <v>87</v>
      </c>
    </row>
    <row r="8" spans="1:8" x14ac:dyDescent="0.25">
      <c r="E8" s="16" t="s">
        <v>105</v>
      </c>
      <c r="F8" s="17">
        <v>6109</v>
      </c>
      <c r="H8" s="16" t="s">
        <v>86</v>
      </c>
    </row>
    <row r="9" spans="1:8" x14ac:dyDescent="0.25">
      <c r="H9" s="16" t="s">
        <v>84</v>
      </c>
    </row>
    <row r="10" spans="1:8" x14ac:dyDescent="0.25">
      <c r="D10" s="15" t="s">
        <v>101</v>
      </c>
      <c r="E10" t="s">
        <v>134</v>
      </c>
      <c r="H10" s="16" t="s">
        <v>114</v>
      </c>
    </row>
    <row r="11" spans="1:8" x14ac:dyDescent="0.25">
      <c r="A11" s="15" t="s">
        <v>101</v>
      </c>
      <c r="B11" t="s">
        <v>132</v>
      </c>
      <c r="D11" s="16" t="s">
        <v>122</v>
      </c>
      <c r="E11" s="17">
        <v>85</v>
      </c>
      <c r="H11" s="16" t="s">
        <v>88</v>
      </c>
    </row>
    <row r="12" spans="1:8" x14ac:dyDescent="0.25">
      <c r="A12" s="16" t="s">
        <v>106</v>
      </c>
      <c r="B12" s="17">
        <v>5579</v>
      </c>
      <c r="D12" s="16" t="s">
        <v>102</v>
      </c>
      <c r="E12" s="17">
        <v>540</v>
      </c>
      <c r="H12" s="16" t="s">
        <v>105</v>
      </c>
    </row>
    <row r="13" spans="1:8" x14ac:dyDescent="0.25">
      <c r="A13" s="16" t="s">
        <v>107</v>
      </c>
      <c r="B13" s="17">
        <v>530</v>
      </c>
      <c r="D13" s="16" t="s">
        <v>103</v>
      </c>
      <c r="E13" s="17">
        <v>1150</v>
      </c>
    </row>
    <row r="14" spans="1:8" x14ac:dyDescent="0.25">
      <c r="A14" s="16" t="s">
        <v>105</v>
      </c>
      <c r="B14" s="17">
        <v>6109</v>
      </c>
      <c r="D14" s="16" t="s">
        <v>123</v>
      </c>
      <c r="E14" s="17">
        <v>280</v>
      </c>
    </row>
    <row r="15" spans="1:8" x14ac:dyDescent="0.25">
      <c r="D15" s="16" t="s">
        <v>104</v>
      </c>
      <c r="E15" s="17">
        <v>974.5</v>
      </c>
    </row>
    <row r="16" spans="1:8" x14ac:dyDescent="0.25">
      <c r="D16" s="16" t="s">
        <v>105</v>
      </c>
      <c r="E16" s="17">
        <v>642.11111111111109</v>
      </c>
    </row>
    <row r="17" spans="8:9" x14ac:dyDescent="0.25">
      <c r="H17" s="15" t="s">
        <v>101</v>
      </c>
      <c r="I17" t="s">
        <v>133</v>
      </c>
    </row>
    <row r="18" spans="8:9" x14ac:dyDescent="0.25">
      <c r="H18" s="16" t="s">
        <v>128</v>
      </c>
      <c r="I18" s="17">
        <v>5</v>
      </c>
    </row>
    <row r="19" spans="8:9" x14ac:dyDescent="0.25">
      <c r="H19" s="16" t="s">
        <v>130</v>
      </c>
      <c r="I19" s="17">
        <v>2</v>
      </c>
    </row>
    <row r="20" spans="8:9" x14ac:dyDescent="0.25">
      <c r="H20" s="16" t="s">
        <v>131</v>
      </c>
      <c r="I20" s="17">
        <v>2</v>
      </c>
    </row>
    <row r="21" spans="8:9" x14ac:dyDescent="0.25">
      <c r="H21" s="16" t="s">
        <v>105</v>
      </c>
      <c r="I21" s="17">
        <v>9</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D336-3BE9-4065-95D8-F65F49792C9F}">
  <dimension ref="A1"/>
  <sheetViews>
    <sheetView tabSelected="1" workbookViewId="0">
      <selection activeCell="T16" sqref="T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D0AC6E9-F0FA-4C18-92AC-D4DA0101E6AA}">
  <ds:schemaRefs/>
</ds:datastoreItem>
</file>

<file path=customXml/itemProps2.xml><?xml version="1.0" encoding="utf-8"?>
<ds:datastoreItem xmlns:ds="http://schemas.openxmlformats.org/officeDocument/2006/customXml" ds:itemID="{40E86F05-AB09-4331-BCDD-CCF46E9CB5A0}">
  <ds:schemaRefs/>
</ds:datastoreItem>
</file>

<file path=customXml/itemProps3.xml><?xml version="1.0" encoding="utf-8"?>
<ds:datastoreItem xmlns:ds="http://schemas.openxmlformats.org/officeDocument/2006/customXml" ds:itemID="{7503063D-43FB-4AD2-A0D5-90EC2BCF608A}">
  <ds:schemaRefs/>
</ds:datastoreItem>
</file>

<file path=customXml/itemProps4.xml><?xml version="1.0" encoding="utf-8"?>
<ds:datastoreItem xmlns:ds="http://schemas.openxmlformats.org/officeDocument/2006/customXml" ds:itemID="{B6EB4CA4-2D50-4A64-B306-849BBBEC13D5}">
  <ds:schemaRefs/>
</ds:datastoreItem>
</file>

<file path=customXml/itemProps5.xml><?xml version="1.0" encoding="utf-8"?>
<ds:datastoreItem xmlns:ds="http://schemas.openxmlformats.org/officeDocument/2006/customXml" ds:itemID="{36FA30A2-6C01-492C-89D6-7F3FB8231238}">
  <ds:schemaRefs/>
</ds:datastoreItem>
</file>

<file path=customXml/itemProps6.xml><?xml version="1.0" encoding="utf-8"?>
<ds:datastoreItem xmlns:ds="http://schemas.openxmlformats.org/officeDocument/2006/customXml" ds:itemID="{46EBC749-D7F9-4068-AB34-DCEBC7D2AC70}">
  <ds:schemaRefs/>
</ds:datastoreItem>
</file>

<file path=customXml/itemProps7.xml><?xml version="1.0" encoding="utf-8"?>
<ds:datastoreItem xmlns:ds="http://schemas.openxmlformats.org/officeDocument/2006/customXml" ds:itemID="{50E49B9F-6413-46B3-A950-2F0B6954F125}">
  <ds:schemaRefs/>
</ds:datastoreItem>
</file>

<file path=customXml/itemProps8.xml><?xml version="1.0" encoding="utf-8"?>
<ds:datastoreItem xmlns:ds="http://schemas.openxmlformats.org/officeDocument/2006/customXml" ds:itemID="{A939C8FF-820A-4D4D-92C9-61D84CC0DE5C}">
  <ds:schemaRefs/>
</ds:datastoreItem>
</file>

<file path=customXml/itemProps9.xml><?xml version="1.0" encoding="utf-8"?>
<ds:datastoreItem xmlns:ds="http://schemas.openxmlformats.org/officeDocument/2006/customXml" ds:itemID="{90DBD63B-BC5E-4AFE-AD42-3F33EEAF53DC}">
  <ds:schemaRefs/>
</ds:datastoreItem>
</file>

<file path=customXml/itemProps10.xml><?xml version="1.0" encoding="utf-8"?>
<ds:datastoreItem xmlns:ds="http://schemas.openxmlformats.org/officeDocument/2006/customXml" ds:itemID="{5EB40C22-0DEC-4C63-A2F0-5B7A00B285AA}">
  <ds:schemaRefs/>
</ds:datastoreItem>
</file>

<file path=customXml/itemProps11.xml><?xml version="1.0" encoding="utf-8"?>
<ds:datastoreItem xmlns:ds="http://schemas.openxmlformats.org/officeDocument/2006/customXml" ds:itemID="{FE471549-D9DB-447A-A9A6-18EA88FAB880}">
  <ds:schemaRefs/>
</ds:datastoreItem>
</file>

<file path=customXml/itemProps12.xml><?xml version="1.0" encoding="utf-8"?>
<ds:datastoreItem xmlns:ds="http://schemas.openxmlformats.org/officeDocument/2006/customXml" ds:itemID="{363F8416-DB22-4B00-AB12-CC099385F35B}">
  <ds:schemaRefs/>
</ds:datastoreItem>
</file>

<file path=customXml/itemProps13.xml><?xml version="1.0" encoding="utf-8"?>
<ds:datastoreItem xmlns:ds="http://schemas.openxmlformats.org/officeDocument/2006/customXml" ds:itemID="{BEF042AF-3CEE-4785-9498-CA9537DF8F24}">
  <ds:schemaRefs/>
</ds:datastoreItem>
</file>

<file path=customXml/itemProps14.xml><?xml version="1.0" encoding="utf-8"?>
<ds:datastoreItem xmlns:ds="http://schemas.openxmlformats.org/officeDocument/2006/customXml" ds:itemID="{9D942986-21ED-4761-A2D4-BDF02ADED867}">
  <ds:schemaRefs/>
</ds:datastoreItem>
</file>

<file path=customXml/itemProps15.xml><?xml version="1.0" encoding="utf-8"?>
<ds:datastoreItem xmlns:ds="http://schemas.openxmlformats.org/officeDocument/2006/customXml" ds:itemID="{A9B55660-C0F1-444D-9C45-3B2C2695BBD6}">
  <ds:schemaRefs/>
</ds:datastoreItem>
</file>

<file path=customXml/itemProps16.xml><?xml version="1.0" encoding="utf-8"?>
<ds:datastoreItem xmlns:ds="http://schemas.openxmlformats.org/officeDocument/2006/customXml" ds:itemID="{7D144133-3719-4D3F-9DDF-3757862C633C}">
  <ds:schemaRefs/>
</ds:datastoreItem>
</file>

<file path=customXml/itemProps17.xml><?xml version="1.0" encoding="utf-8"?>
<ds:datastoreItem xmlns:ds="http://schemas.openxmlformats.org/officeDocument/2006/customXml" ds:itemID="{9935349F-BCAC-45F7-8B45-304509158F29}">
  <ds:schemaRefs/>
</ds:datastoreItem>
</file>

<file path=customXml/itemProps18.xml><?xml version="1.0" encoding="utf-8"?>
<ds:datastoreItem xmlns:ds="http://schemas.openxmlformats.org/officeDocument/2006/customXml" ds:itemID="{CEFC99CD-0A3F-4967-B790-4E7E7E1AB566}">
  <ds:schemaRefs/>
</ds:datastoreItem>
</file>

<file path=customXml/itemProps19.xml><?xml version="1.0" encoding="utf-8"?>
<ds:datastoreItem xmlns:ds="http://schemas.openxmlformats.org/officeDocument/2006/customXml" ds:itemID="{50F3AAA6-ACAA-4EF5-BB94-BA602DDE79DB}">
  <ds:schemaRefs/>
</ds:datastoreItem>
</file>

<file path=customXml/itemProps20.xml><?xml version="1.0" encoding="utf-8"?>
<ds:datastoreItem xmlns:ds="http://schemas.openxmlformats.org/officeDocument/2006/customXml" ds:itemID="{1DC2828B-DE7D-4820-983B-16DC2B7CFEDD}">
  <ds:schemaRefs/>
</ds:datastoreItem>
</file>

<file path=customXml/itemProps21.xml><?xml version="1.0" encoding="utf-8"?>
<ds:datastoreItem xmlns:ds="http://schemas.openxmlformats.org/officeDocument/2006/customXml" ds:itemID="{4C88DDC8-C44C-48AE-8E1F-37011E3449B5}">
  <ds:schemaRefs/>
</ds:datastoreItem>
</file>

<file path=customXml/itemProps22.xml><?xml version="1.0" encoding="utf-8"?>
<ds:datastoreItem xmlns:ds="http://schemas.openxmlformats.org/officeDocument/2006/customXml" ds:itemID="{28D8291D-624E-44FE-96BE-5D9623B19E4F}">
  <ds:schemaRefs/>
</ds:datastoreItem>
</file>

<file path=customXml/itemProps23.xml><?xml version="1.0" encoding="utf-8"?>
<ds:datastoreItem xmlns:ds="http://schemas.openxmlformats.org/officeDocument/2006/customXml" ds:itemID="{9A5ABBBA-145F-4B92-9CF4-276C5F897759}">
  <ds:schemaRefs/>
</ds:datastoreItem>
</file>

<file path=customXml/itemProps24.xml><?xml version="1.0" encoding="utf-8"?>
<ds:datastoreItem xmlns:ds="http://schemas.openxmlformats.org/officeDocument/2006/customXml" ds:itemID="{28C0AC75-3914-4B3C-86E5-C81823CFBC9A}">
  <ds:schemaRefs/>
</ds:datastoreItem>
</file>

<file path=customXml/itemProps25.xml><?xml version="1.0" encoding="utf-8"?>
<ds:datastoreItem xmlns:ds="http://schemas.openxmlformats.org/officeDocument/2006/customXml" ds:itemID="{3E23A753-FB4B-453A-9A0B-829A0BDE7E2B}">
  <ds:schemaRefs/>
</ds:datastoreItem>
</file>

<file path=customXml/itemProps26.xml><?xml version="1.0" encoding="utf-8"?>
<ds:datastoreItem xmlns:ds="http://schemas.openxmlformats.org/officeDocument/2006/customXml" ds:itemID="{21B66C6D-DCBA-4E44-93DE-AFD1114B9237}">
  <ds:schemaRefs/>
</ds:datastoreItem>
</file>

<file path=customXml/itemProps27.xml><?xml version="1.0" encoding="utf-8"?>
<ds:datastoreItem xmlns:ds="http://schemas.openxmlformats.org/officeDocument/2006/customXml" ds:itemID="{0E80E638-AFB9-49E3-BD4E-F79C5DA351B0}">
  <ds:schemaRefs/>
</ds:datastoreItem>
</file>

<file path=customXml/itemProps28.xml><?xml version="1.0" encoding="utf-8"?>
<ds:datastoreItem xmlns:ds="http://schemas.openxmlformats.org/officeDocument/2006/customXml" ds:itemID="{17E6D312-8998-4824-9860-78879DFE7A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Products</vt:lpstr>
      <vt:lpstr>Payments</vt:lpstr>
      <vt:lpstr>Order_items</vt:lpstr>
      <vt:lpstr>Customers</vt:lpstr>
      <vt:lpstr>pivot</vt:lpstr>
      <vt:lpstr>powerpivot_dashboard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2026-07-10T13:55:48Z</dcterms:created>
  <dcterms:modified xsi:type="dcterms:W3CDTF">2026-07-11T10:54:42Z</dcterms:modified>
</cp:coreProperties>
</file>