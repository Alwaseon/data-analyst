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User\Documents\data-analyst\PROJECTS\EXCEL_PROJECT\"/>
    </mc:Choice>
  </mc:AlternateContent>
  <xr:revisionPtr revIDLastSave="0" documentId="8_{AD5A7499-1D42-44EF-BA0F-4F69B0143EB7}" xr6:coauthVersionLast="47" xr6:coauthVersionMax="47" xr10:uidLastSave="{00000000-0000-0000-0000-000000000000}"/>
  <bookViews>
    <workbookView xWindow="-120" yWindow="-120" windowWidth="29040" windowHeight="15720" xr2:uid="{0777BA20-C399-47E3-9ADF-1BE31FE045D2}"/>
  </bookViews>
  <sheets>
    <sheet name="sales_perfomance_dashboard" sheetId="11" r:id="rId1"/>
    <sheet name="Orders" sheetId="1" r:id="rId2"/>
    <sheet name="Products" sheetId="3" r:id="rId3"/>
    <sheet name="Payments" sheetId="7" r:id="rId4"/>
    <sheet name="Order_items" sheetId="4" r:id="rId5"/>
    <sheet name="Customers" sheetId="5" r:id="rId6"/>
    <sheet name="Pivots_for_final" sheetId="9" r:id="rId7"/>
  </sheets>
  <externalReferences>
    <externalReference r:id="rId8"/>
  </externalReferences>
  <definedNames>
    <definedName name="_xlcn.WorksheetConnection_Book1tbl_customers1" hidden="1">tbl_customers[]</definedName>
    <definedName name="_xlcn.WorksheetConnection_Book1tbl_order_items1" hidden="1">tbl_order_items[]</definedName>
    <definedName name="_xlcn.WorksheetConnection_Book1tbl_orders1" hidden="1">tbl_orders[]</definedName>
    <definedName name="_xlcn.WorksheetConnection_Book1tbl_payments1" hidden="1">tbl_payments[]</definedName>
    <definedName name="_xlcn.WorksheetConnection_Book1tbl_products1" hidden="1">tbl_products[]</definedName>
    <definedName name="Slicer_category_name1">#N/A</definedName>
    <definedName name="Slicer_payment_method1">#N/A</definedName>
    <definedName name="Timeline_order_date">#N/A</definedName>
  </definedNames>
  <calcPr calcId="191029"/>
  <pivotCaches>
    <pivotCache cacheId="1644" r:id="rId9"/>
    <pivotCache cacheId="1647" r:id="rId10"/>
    <pivotCache cacheId="1650" r:id="rId11"/>
    <pivotCache cacheId="1653" r:id="rId12"/>
    <pivotCache cacheId="1656" r:id="rId13"/>
    <pivotCache cacheId="1659" r:id="rId14"/>
    <pivotCache cacheId="1662" r:id="rId15"/>
    <pivotCache cacheId="1665" r:id="rId16"/>
    <pivotCache cacheId="1668" r:id="rId17"/>
    <pivotCache cacheId="1671" r:id="rId18"/>
    <pivotCache cacheId="1674" r:id="rId19"/>
  </pivotCaches>
  <extLst>
    <ext xmlns:x14="http://schemas.microsoft.com/office/spreadsheetml/2009/9/main" uri="{876F7934-8845-4945-9796-88D515C7AA90}">
      <x14:pivotCaches>
        <pivotCache cacheId="145"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6"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products" name="tbl_products" connection="WorksheetConnection_Book1!tbl_products"/>
          <x15:modelTable id="tbl_payments" name="tbl_payments" connection="WorksheetConnection_Book1!tbl_payments"/>
          <x15:modelTable id="tbl_orders" name="tbl_orders" connection="WorksheetConnection_Book1!tbl_orders"/>
          <x15:modelTable id="tbl_order_items" name="tbl_order_items" connection="WorksheetConnection_Book1!tbl_order_items"/>
          <x15:modelTable id="tbl_customers" name="tbl_customers" connection="WorksheetConnection_Book1!tbl_customers"/>
        </x15:modelTables>
        <x15:modelRelationships>
          <x15:modelRelationship fromTable="tbl_orders" fromColumn="customer_id" toTable="tbl_customers" toColumn="customer_id"/>
          <x15:modelRelationship fromTable="tbl_orders" fromColumn="order_id" toTable="tbl_payments" toColumn="order_id"/>
          <x15:modelRelationship fromTable="tbl_order_items" fromColumn="order_id" toTable="tbl_orders" toColumn="order_id"/>
          <x15:modelRelationship fromTable="tbl_order_items" fromColumn="product_id" toTable="tbl_products" toColumn="product_id"/>
        </x15:modelRelationships>
        <x15:extLst>
          <ext xmlns:x16="http://schemas.microsoft.com/office/spreadsheetml/2014/11/main" uri="{9835A34E-60A6-4A7C-AAB8-D5F71C897F49}">
            <x16:modelTimeGroupings>
              <x16:modelTimeGrouping tableName="tbl_customers" columnName="registration_date" columnId="registration_date">
                <x16:calculatedTimeColumn columnName="registration_date (Year)" columnId="registration_date (Year)" contentType="years" isSelected="1"/>
                <x16:calculatedTimeColumn columnName="registration_date (Quarter)" columnId="registration_date (Quarter)" contentType="quarters" isSelected="1"/>
                <x16:calculatedTimeColumn columnName="registration_date (Month Index)" columnId="registration_date (Month Index)" contentType="monthsindex" isSelected="1"/>
                <x16:calculatedTimeColumn columnName="registration_date (Month)" columnId="registra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8" i="3" l="1"/>
  <c r="E9" i="3"/>
  <c r="E10" i="3"/>
  <c r="E11" i="3"/>
  <c r="E7" i="3"/>
  <c r="E6" i="3"/>
  <c r="E5" i="3"/>
  <c r="E4" i="3"/>
  <c r="E3" i="3"/>
  <c r="E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E2065F-5493-4E12-AAF8-A4CE8CE974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3E24AA2-4615-405B-A14A-B3F3015BA627}" name="WorksheetConnection_Book1!tbl_customers" type="102" refreshedVersion="8" minRefreshableVersion="5">
    <extLst>
      <ext xmlns:x15="http://schemas.microsoft.com/office/spreadsheetml/2010/11/main" uri="{DE250136-89BD-433C-8126-D09CA5730AF9}">
        <x15:connection id="tbl_customers">
          <x15:rangePr sourceName="_xlcn.WorksheetConnection_Book1tbl_customers1"/>
        </x15:connection>
      </ext>
    </extLst>
  </connection>
  <connection id="3" xr16:uid="{C2D3DF6F-A4B3-4C41-8842-24F6EEBD3B12}" name="WorksheetConnection_Book1!tbl_order_items" type="102" refreshedVersion="8" minRefreshableVersion="5">
    <extLst>
      <ext xmlns:x15="http://schemas.microsoft.com/office/spreadsheetml/2010/11/main" uri="{DE250136-89BD-433C-8126-D09CA5730AF9}">
        <x15:connection id="tbl_order_items">
          <x15:rangePr sourceName="_xlcn.WorksheetConnection_Book1tbl_order_items1"/>
        </x15:connection>
      </ext>
    </extLst>
  </connection>
  <connection id="4" xr16:uid="{2CE595FA-7C20-43FE-BA37-6BBF6D3B009A}" name="WorksheetConnection_Book1!tbl_orders" type="102" refreshedVersion="8" minRefreshableVersion="5">
    <extLst>
      <ext xmlns:x15="http://schemas.microsoft.com/office/spreadsheetml/2010/11/main" uri="{DE250136-89BD-433C-8126-D09CA5730AF9}">
        <x15:connection id="tbl_orders">
          <x15:rangePr sourceName="_xlcn.WorksheetConnection_Book1tbl_orders1"/>
        </x15:connection>
      </ext>
    </extLst>
  </connection>
  <connection id="5" xr16:uid="{55F16F98-266B-47AD-AF8E-AC816F56F79B}" name="WorksheetConnection_Book1!tbl_payments" type="102" refreshedVersion="8" minRefreshableVersion="5">
    <extLst>
      <ext xmlns:x15="http://schemas.microsoft.com/office/spreadsheetml/2010/11/main" uri="{DE250136-89BD-433C-8126-D09CA5730AF9}">
        <x15:connection id="tbl_payments">
          <x15:rangePr sourceName="_xlcn.WorksheetConnection_Book1tbl_payments1"/>
        </x15:connection>
      </ext>
    </extLst>
  </connection>
  <connection id="6" xr16:uid="{EA1F47DB-EBFF-4C96-A53A-13CD7BE7A9F2}" name="WorksheetConnection_Book1!tbl_products" type="102" refreshedVersion="8" minRefreshableVersion="5">
    <extLst>
      <ext xmlns:x15="http://schemas.microsoft.com/office/spreadsheetml/2010/11/main" uri="{DE250136-89BD-433C-8126-D09CA5730AF9}">
        <x15:connection id="tbl_products">
          <x15:rangePr sourceName="_xlcn.WorksheetConnection_Book1tbl_products1"/>
        </x15:connection>
      </ext>
    </extLst>
  </connection>
</connections>
</file>

<file path=xl/sharedStrings.xml><?xml version="1.0" encoding="utf-8"?>
<sst xmlns="http://schemas.openxmlformats.org/spreadsheetml/2006/main" count="222" uniqueCount="134">
  <si>
    <t>order_id</t>
  </si>
  <si>
    <t>customer_id</t>
  </si>
  <si>
    <t>order_date</t>
  </si>
  <si>
    <t>status</t>
  </si>
  <si>
    <t>amount</t>
  </si>
  <si>
    <t>Completed</t>
  </si>
  <si>
    <t>Cancelled</t>
  </si>
  <si>
    <t>120.50</t>
  </si>
  <si>
    <t>75.00</t>
  </si>
  <si>
    <t>210.99</t>
  </si>
  <si>
    <t>Pending</t>
  </si>
  <si>
    <t>55.50</t>
  </si>
  <si>
    <t>330.00</t>
  </si>
  <si>
    <t>William</t>
  </si>
  <si>
    <t>Anderson</t>
  </si>
  <si>
    <t>Chicago</t>
  </si>
  <si>
    <t>Ava</t>
  </si>
  <si>
    <t>Taylor</t>
  </si>
  <si>
    <t>Houston</t>
  </si>
  <si>
    <t>James</t>
  </si>
  <si>
    <t>Moore</t>
  </si>
  <si>
    <t>Denver</t>
  </si>
  <si>
    <t>Olivia</t>
  </si>
  <si>
    <t>Wilson</t>
  </si>
  <si>
    <t>Miami</t>
  </si>
  <si>
    <t>Daniel</t>
  </si>
  <si>
    <t>Miller</t>
  </si>
  <si>
    <t>Dallas</t>
  </si>
  <si>
    <t>Sophia</t>
  </si>
  <si>
    <t>Davis</t>
  </si>
  <si>
    <t>Seattle</t>
  </si>
  <si>
    <t>Michael</t>
  </si>
  <si>
    <t>Brown</t>
  </si>
  <si>
    <t>Boston</t>
  </si>
  <si>
    <t>Emma</t>
  </si>
  <si>
    <t>Johnson</t>
  </si>
  <si>
    <t>John</t>
  </si>
  <si>
    <t>Smith</t>
  </si>
  <si>
    <t>New York</t>
  </si>
  <si>
    <t>Grace</t>
  </si>
  <si>
    <t>Green</t>
  </si>
  <si>
    <t>Aiden</t>
  </si>
  <si>
    <t>Scott</t>
  </si>
  <si>
    <t>Scarlett</t>
  </si>
  <si>
    <t>Wright</t>
  </si>
  <si>
    <t>Jack</t>
  </si>
  <si>
    <t>King</t>
  </si>
  <si>
    <t>Ella</t>
  </si>
  <si>
    <t>Young</t>
  </si>
  <si>
    <t>Sebastian</t>
  </si>
  <si>
    <t>Allen</t>
  </si>
  <si>
    <t>Phoenix</t>
  </si>
  <si>
    <t>Emily</t>
  </si>
  <si>
    <t>Hall</t>
  </si>
  <si>
    <t>Logan</t>
  </si>
  <si>
    <t>Walker</t>
  </si>
  <si>
    <t>Los Angeles</t>
  </si>
  <si>
    <t>Abigail</t>
  </si>
  <si>
    <t>Lee</t>
  </si>
  <si>
    <t>Jacob</t>
  </si>
  <si>
    <t>Lewis</t>
  </si>
  <si>
    <t>Evelyn</t>
  </si>
  <si>
    <t>Rodriguez</t>
  </si>
  <si>
    <t>Ethan</t>
  </si>
  <si>
    <t>Clark</t>
  </si>
  <si>
    <t>Harper</t>
  </si>
  <si>
    <t>Robinson</t>
  </si>
  <si>
    <t>Alexander</t>
  </si>
  <si>
    <t>Martinez</t>
  </si>
  <si>
    <t>Amelia</t>
  </si>
  <si>
    <t>Garcia</t>
  </si>
  <si>
    <t>Henry</t>
  </si>
  <si>
    <t>Thompson</t>
  </si>
  <si>
    <t>Charlotte</t>
  </si>
  <si>
    <t>Martin</t>
  </si>
  <si>
    <t>Lucas</t>
  </si>
  <si>
    <t>Harris</t>
  </si>
  <si>
    <t>Mia</t>
  </si>
  <si>
    <t>White</t>
  </si>
  <si>
    <t>Benjamin</t>
  </si>
  <si>
    <t>Jackson</t>
  </si>
  <si>
    <t>Isabella</t>
  </si>
  <si>
    <t>Thomas</t>
  </si>
  <si>
    <t>MacBook Air M3</t>
  </si>
  <si>
    <t>ThinkPad T14</t>
  </si>
  <si>
    <t>iPhone 15</t>
  </si>
  <si>
    <t>Samsung S24</t>
  </si>
  <si>
    <t>PlayStation 5</t>
  </si>
  <si>
    <t>Xbox Series X</t>
  </si>
  <si>
    <t>product_id</t>
  </si>
  <si>
    <t>product_name</t>
  </si>
  <si>
    <t>category_id</t>
  </si>
  <si>
    <t>price</t>
  </si>
  <si>
    <t>category_name</t>
  </si>
  <si>
    <t>order_item_id</t>
  </si>
  <si>
    <t>quantity</t>
  </si>
  <si>
    <t>unit_price</t>
  </si>
  <si>
    <t>first_name</t>
  </si>
  <si>
    <t>last_name</t>
  </si>
  <si>
    <t>city</t>
  </si>
  <si>
    <t>registration_date</t>
  </si>
  <si>
    <t>Row Labels</t>
  </si>
  <si>
    <t>Gaming</t>
  </si>
  <si>
    <t>Laptops</t>
  </si>
  <si>
    <t>Smartphones</t>
  </si>
  <si>
    <t>Grand Total</t>
  </si>
  <si>
    <t>1200.00</t>
  </si>
  <si>
    <t>1100.00</t>
  </si>
  <si>
    <t>999.00</t>
  </si>
  <si>
    <t>950.00</t>
  </si>
  <si>
    <t>Mechanical Keyboard</t>
  </si>
  <si>
    <t>120.00</t>
  </si>
  <si>
    <t>Wireless Mouse</t>
  </si>
  <si>
    <t>50.00</t>
  </si>
  <si>
    <t>Dell 27 Monitor</t>
  </si>
  <si>
    <t>280.00</t>
  </si>
  <si>
    <t>LG Ultrawide</t>
  </si>
  <si>
    <t>450.00</t>
  </si>
  <si>
    <t>550.00</t>
  </si>
  <si>
    <t>530.00</t>
  </si>
  <si>
    <t>Accessories</t>
  </si>
  <si>
    <t>Monitors</t>
  </si>
  <si>
    <t>payment_id</t>
  </si>
  <si>
    <t>payment_method</t>
  </si>
  <si>
    <t>payment_status</t>
  </si>
  <si>
    <t>payment_date</t>
  </si>
  <si>
    <t>Card</t>
  </si>
  <si>
    <t>Paid</t>
  </si>
  <si>
    <t>Cash</t>
  </si>
  <si>
    <t>Transfer</t>
  </si>
  <si>
    <t>Total Revenue</t>
  </si>
  <si>
    <t>Total Orders</t>
  </si>
  <si>
    <t>Total Customers</t>
  </si>
  <si>
    <t>Average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</si>
</sst>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
  </numFmts>
  <fonts count="5" x14ac:knownFonts="1">
    <font>
      <sz val="11"/>
      <color theme="1"/>
      <name val="Aptos Narrow"/>
      <family val="2"/>
      <charset val="204"/>
      <scheme val="minor"/>
    </font>
    <font>
      <b/>
      <sz val="11"/>
      <color theme="0"/>
      <name val="Aptos Narrow"/>
      <family val="2"/>
      <charset val="204"/>
      <scheme val="minor"/>
    </font>
    <font>
      <sz val="24"/>
      <color theme="1"/>
      <name val="Aptos Narrow"/>
      <family val="2"/>
      <charset val="204"/>
      <scheme val="minor"/>
    </font>
    <font>
      <b/>
      <sz val="24"/>
      <color theme="1"/>
      <name val="Aptos Narrow"/>
      <family val="2"/>
      <charset val="204"/>
      <scheme val="minor"/>
    </font>
    <font>
      <sz val="16"/>
      <color theme="1"/>
      <name val="Aptos Narrow"/>
      <family val="2"/>
      <charset val="204"/>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25">
    <xf numFmtId="0" fontId="0" fillId="0" borderId="0" xfId="0"/>
    <xf numFmtId="0" fontId="1" fillId="2" borderId="0" xfId="0" applyFont="1" applyFill="1"/>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0" fillId="3" borderId="2" xfId="0" applyFill="1" applyBorder="1"/>
    <xf numFmtId="0" fontId="0" fillId="0" borderId="2" xfId="0" applyBorder="1"/>
    <xf numFmtId="2" fontId="0" fillId="3" borderId="2" xfId="0" applyNumberFormat="1" applyFill="1" applyBorder="1"/>
    <xf numFmtId="2" fontId="0" fillId="0" borderId="2" xfId="0" applyNumberFormat="1" applyBorder="1"/>
    <xf numFmtId="0" fontId="1" fillId="2" borderId="3" xfId="0" applyFont="1" applyFill="1" applyBorder="1"/>
    <xf numFmtId="2" fontId="1" fillId="2" borderId="3" xfId="0" applyNumberFormat="1" applyFont="1" applyFill="1" applyBorder="1"/>
    <xf numFmtId="2" fontId="0" fillId="0" borderId="1" xfId="0" applyNumberFormat="1" applyBorder="1"/>
    <xf numFmtId="4" fontId="0" fillId="3" borderId="1" xfId="0" applyNumberFormat="1" applyFill="1" applyBorder="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0" borderId="4" xfId="0" applyBorder="1" applyAlignment="1">
      <alignment horizontal="center"/>
    </xf>
    <xf numFmtId="0" fontId="0" fillId="0" borderId="6" xfId="0" applyBorder="1" applyAlignment="1">
      <alignment horizontal="center"/>
    </xf>
    <xf numFmtId="164" fontId="2" fillId="0" borderId="5" xfId="0" applyNumberFormat="1" applyFont="1" applyBorder="1" applyAlignment="1">
      <alignment horizontal="center"/>
    </xf>
    <xf numFmtId="0" fontId="4" fillId="0" borderId="0" xfId="0" applyNumberFormat="1" applyFont="1" applyFill="1" applyBorder="1" applyAlignment="1" applyProtection="1"/>
    <xf numFmtId="1" fontId="3" fillId="0" borderId="5" xfId="0" applyNumberFormat="1" applyFont="1" applyBorder="1" applyAlignment="1">
      <alignment horizontal="center"/>
    </xf>
    <xf numFmtId="0" fontId="3" fillId="0" borderId="5" xfId="0" applyNumberFormat="1" applyFont="1" applyBorder="1" applyAlignment="1">
      <alignment horizontal="center"/>
    </xf>
  </cellXfs>
  <cellStyles count="1">
    <cellStyle name="Normal" xfId="0" builtinId="0"/>
  </cellStyles>
  <dxfs count="70">
    <dxf>
      <font>
        <sz val="16"/>
      </font>
    </dxf>
    <dxf>
      <font>
        <sz val="16"/>
      </font>
    </dxf>
    <dxf>
      <font>
        <sz val="16"/>
      </font>
    </dxf>
    <dxf>
      <font>
        <sz val="16"/>
      </font>
    </dxf>
    <dxf>
      <font>
        <b val="0"/>
        <i val="0"/>
        <strike val="0"/>
        <condense val="0"/>
        <extend val="0"/>
        <outline val="0"/>
        <shadow val="0"/>
        <u val="none"/>
        <vertAlign val="baseline"/>
        <sz val="11"/>
        <color theme="1"/>
        <name val="Aptos Narrow"/>
        <family val="2"/>
        <charset val="204"/>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charset val="204"/>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charset val="204"/>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charset val="204"/>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4" formatCode="[$$-1009]#,##0"/>
    </dxf>
    <dxf>
      <font>
        <sz val="24"/>
      </font>
    </dxf>
    <dxf>
      <font>
        <sz val="24"/>
      </font>
    </dxf>
    <dxf>
      <font>
        <b/>
      </font>
    </dxf>
    <dxf>
      <alignment horizontal="center"/>
    </dxf>
    <dxf>
      <alignment horizontal="cent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center"/>
    </dxf>
    <dxf>
      <alignment horizontal="center"/>
    </dxf>
    <dxf>
      <alignment horizontal="center"/>
    </dxf>
    <dxf>
      <alignment horizontal="center"/>
    </dxf>
    <dxf>
      <alignment horizontal="center"/>
    </dxf>
    <dxf>
      <alignment horizontal="center"/>
    </dxf>
    <dxf>
      <font>
        <b/>
      </font>
    </dxf>
    <dxf>
      <alignment horizontal="center"/>
    </dxf>
    <dxf>
      <font>
        <b/>
      </font>
    </dxf>
    <dxf>
      <alignment horizontal="center"/>
    </dxf>
    <dxf>
      <font>
        <sz val="24"/>
      </font>
    </dxf>
    <dxf>
      <font>
        <sz val="24"/>
      </font>
    </dxf>
    <dxf>
      <font>
        <sz val="24"/>
      </font>
    </dxf>
    <dxf>
      <numFmt numFmtId="19" formatCode="dd/mm/yyyy"/>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Aptos Narrow"/>
        <family val="2"/>
        <charset val="204"/>
        <scheme val="minor"/>
      </font>
      <fill>
        <patternFill patternType="solid">
          <fgColor theme="4"/>
          <bgColor theme="4"/>
        </patternFill>
      </fill>
    </dxf>
    <dxf>
      <numFmt numFmtId="19" formatCode="dd/mm/yyyy"/>
    </dxf>
    <dxf>
      <border diagonalUp="0" diagonalDown="0">
        <left/>
        <right/>
        <top style="thin">
          <color theme="4" tint="0.39997558519241921"/>
        </top>
        <bottom style="thin">
          <color theme="4" tint="0.39997558519241921"/>
        </bottom>
        <vertical/>
        <horizontal/>
      </border>
    </dxf>
    <dxf>
      <numFmt numFmtId="2" formatCode="0.0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Aptos Narrow"/>
        <family val="2"/>
        <charset val="204"/>
        <scheme val="minor"/>
      </font>
      <fill>
        <patternFill patternType="solid">
          <fgColor theme="4"/>
          <bgColor theme="4"/>
        </patternFill>
      </fill>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Aptos Narrow"/>
        <family val="2"/>
        <charset val="204"/>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microsoft.com/office/2007/relationships/slicerCache" Target="slicerCaches/slicerCache1.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worksheet" Target="worksheets/sheet7.xml"/><Relationship Id="rId71" Type="http://schemas.openxmlformats.org/officeDocument/2006/relationships/customXml" Target="../customXml/item40.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owerPivotData" Target="model/item.data"/><Relationship Id="rId11" Type="http://schemas.openxmlformats.org/officeDocument/2006/relationships/pivotCacheDefinition" Target="pivotCache/pivotCacheDefinition3.xml"/><Relationship Id="rId24" Type="http://schemas.microsoft.com/office/2011/relationships/timelineCache" Target="timelineCaches/timeline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07/relationships/slicerCache" Target="slicerCaches/slicerCache2.xml"/><Relationship Id="rId27" Type="http://schemas.openxmlformats.org/officeDocument/2006/relationships/styles" Target="styles.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externalLink" Target="externalLinks/externalLink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2.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70"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3.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2.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alpha val="70000"/>
            </a:schemeClr>
          </a:solidFill>
          <a:ln>
            <a:noFill/>
          </a:ln>
          <a:effectLst/>
        </c:spPr>
        <c:marker>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4">
                <a:alpha val="70000"/>
              </a:schemeClr>
            </a:solidFill>
            <a:ln>
              <a:noFill/>
            </a:ln>
            <a:effectLst/>
          </c:spPr>
          <c:invertIfNegative val="0"/>
          <c:cat>
            <c:strLit>
              <c:ptCount val="3"/>
              <c:pt idx="0">
                <c:v>Card</c:v>
              </c:pt>
              <c:pt idx="1">
                <c:v>Cash</c:v>
              </c:pt>
              <c:pt idx="2">
                <c:v>Transfer</c:v>
              </c:pt>
            </c:strLit>
          </c:cat>
          <c:val>
            <c:numLit>
              <c:formatCode>General</c:formatCode>
              <c:ptCount val="3"/>
              <c:pt idx="0">
                <c:v>5</c:v>
              </c:pt>
              <c:pt idx="1">
                <c:v>2</c:v>
              </c:pt>
              <c:pt idx="2">
                <c:v>2</c:v>
              </c:pt>
            </c:numLit>
          </c:val>
          <c:extLst>
            <c:ext xmlns:c16="http://schemas.microsoft.com/office/drawing/2014/chart" uri="{C3380CC4-5D6E-409C-BE32-E72D297353CC}">
              <c16:uniqueId val="{00000005-8695-4AC0-B953-FBB8B0E58B8A}"/>
            </c:ext>
          </c:extLst>
        </c:ser>
        <c:dLbls>
          <c:dLblPos val="ctr"/>
          <c:showLegendKey val="0"/>
          <c:showVal val="0"/>
          <c:showCatName val="0"/>
          <c:showSerName val="0"/>
          <c:showPercent val="0"/>
          <c:showBubbleSize val="0"/>
        </c:dLbls>
        <c:gapWidth val="50"/>
        <c:overlap val="100"/>
        <c:axId val="62454496"/>
        <c:axId val="1355680239"/>
      </c:barChart>
      <c:catAx>
        <c:axId val="6245449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55680239"/>
        <c:crosses val="autoZero"/>
        <c:auto val="1"/>
        <c:lblAlgn val="ctr"/>
        <c:lblOffset val="100"/>
        <c:noMultiLvlLbl val="0"/>
      </c:catAx>
      <c:valAx>
        <c:axId val="135568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245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[Excel_Sales_Dashboard.xlsx]Pivots_for_final!PivotTable15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t>CUSTOMER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Pivots_for_final!$N$20</c:f>
              <c:strCache>
                <c:ptCount val="1"/>
                <c:pt idx="0">
                  <c:v>Total</c:v>
                </c:pt>
              </c:strCache>
            </c:strRef>
          </c:tx>
          <c:spPr>
            <a:solidFill>
              <a:schemeClr val="accent4"/>
            </a:solidFill>
            <a:ln>
              <a:noFill/>
            </a:ln>
            <a:effectLst/>
          </c:spPr>
          <c:invertIfNegative val="0"/>
          <c:cat>
            <c:strRef>
              <c:f>Pivots_for_final!$M$21:$M$27</c:f>
              <c:strCache>
                <c:ptCount val="6"/>
                <c:pt idx="0">
                  <c:v>1</c:v>
                </c:pt>
                <c:pt idx="1">
                  <c:v>2</c:v>
                </c:pt>
                <c:pt idx="2">
                  <c:v>3</c:v>
                </c:pt>
                <c:pt idx="3">
                  <c:v>4</c:v>
                </c:pt>
                <c:pt idx="4">
                  <c:v>5</c:v>
                </c:pt>
                <c:pt idx="5">
                  <c:v>6</c:v>
                </c:pt>
              </c:strCache>
            </c:strRef>
          </c:cat>
          <c:val>
            <c:numRef>
              <c:f>Pivots_for_final!$N$21:$N$27</c:f>
              <c:numCache>
                <c:formatCode>General</c:formatCode>
                <c:ptCount val="6"/>
                <c:pt idx="0">
                  <c:v>1420</c:v>
                </c:pt>
                <c:pt idx="1">
                  <c:v>2099</c:v>
                </c:pt>
                <c:pt idx="2">
                  <c:v>560</c:v>
                </c:pt>
                <c:pt idx="3">
                  <c:v>950</c:v>
                </c:pt>
                <c:pt idx="4">
                  <c:v>550</c:v>
                </c:pt>
                <c:pt idx="5">
                  <c:v>530</c:v>
                </c:pt>
              </c:numCache>
            </c:numRef>
          </c:val>
          <c:extLst>
            <c:ext xmlns:c16="http://schemas.microsoft.com/office/drawing/2014/chart" uri="{C3380CC4-5D6E-409C-BE32-E72D297353CC}">
              <c16:uniqueId val="{00000005-1FA1-4C6C-8345-DE9DA40EE17D}"/>
            </c:ext>
          </c:extLst>
        </c:ser>
        <c:dLbls>
          <c:showLegendKey val="0"/>
          <c:showVal val="0"/>
          <c:showCatName val="0"/>
          <c:showSerName val="0"/>
          <c:showPercent val="0"/>
          <c:showBubbleSize val="0"/>
        </c:dLbls>
        <c:gapWidth val="150"/>
        <c:overlap val="100"/>
        <c:axId val="1770843535"/>
        <c:axId val="838816847"/>
      </c:barChart>
      <c:catAx>
        <c:axId val="177084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38816847"/>
        <c:crosses val="autoZero"/>
        <c:auto val="1"/>
        <c:lblAlgn val="ctr"/>
        <c:lblOffset val="100"/>
        <c:noMultiLvlLbl val="0"/>
      </c:catAx>
      <c:valAx>
        <c:axId val="838816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7084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[Excel_Sales_Dashboard.xlsx]Pivots_for_final!PivotTable1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aseline="0"/>
              <a:t>CATEGORY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Pivots_for_final!$C$3</c:f>
              <c:strCache>
                <c:ptCount val="1"/>
                <c:pt idx="0">
                  <c:v>Total</c:v>
                </c:pt>
              </c:strCache>
            </c:strRef>
          </c:tx>
          <c:spPr>
            <a:solidFill>
              <a:schemeClr val="accent4"/>
            </a:solidFill>
            <a:ln>
              <a:noFill/>
            </a:ln>
            <a:effectLst/>
          </c:spPr>
          <c:invertIfNegative val="0"/>
          <c:cat>
            <c:strRef>
              <c:f>Pivots_for_final!$B$4:$B$9</c:f>
              <c:strCache>
                <c:ptCount val="5"/>
                <c:pt idx="0">
                  <c:v>Accessories</c:v>
                </c:pt>
                <c:pt idx="1">
                  <c:v>Gaming</c:v>
                </c:pt>
                <c:pt idx="2">
                  <c:v>Laptops</c:v>
                </c:pt>
                <c:pt idx="3">
                  <c:v>Monitors</c:v>
                </c:pt>
                <c:pt idx="4">
                  <c:v>Smartphones</c:v>
                </c:pt>
              </c:strCache>
            </c:strRef>
          </c:cat>
          <c:val>
            <c:numRef>
              <c:f>Pivots_for_final!$C$4:$C$9</c:f>
              <c:numCache>
                <c:formatCode>General</c:formatCode>
                <c:ptCount val="5"/>
                <c:pt idx="0">
                  <c:v>220</c:v>
                </c:pt>
                <c:pt idx="1">
                  <c:v>1080</c:v>
                </c:pt>
                <c:pt idx="2">
                  <c:v>2300</c:v>
                </c:pt>
                <c:pt idx="3">
                  <c:v>560</c:v>
                </c:pt>
                <c:pt idx="4">
                  <c:v>1949</c:v>
                </c:pt>
              </c:numCache>
            </c:numRef>
          </c:val>
          <c:extLst>
            <c:ext xmlns:c16="http://schemas.microsoft.com/office/drawing/2014/chart" uri="{C3380CC4-5D6E-409C-BE32-E72D297353CC}">
              <c16:uniqueId val="{00000005-E65E-496D-AF82-7A40BEC890A2}"/>
            </c:ext>
          </c:extLst>
        </c:ser>
        <c:dLbls>
          <c:showLegendKey val="0"/>
          <c:showVal val="0"/>
          <c:showCatName val="0"/>
          <c:showSerName val="0"/>
          <c:showPercent val="0"/>
          <c:showBubbleSize val="0"/>
        </c:dLbls>
        <c:gapWidth val="182"/>
        <c:axId val="1770908031"/>
        <c:axId val="2009279695"/>
      </c:barChart>
      <c:catAx>
        <c:axId val="177090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09279695"/>
        <c:crosses val="autoZero"/>
        <c:auto val="1"/>
        <c:lblAlgn val="ctr"/>
        <c:lblOffset val="100"/>
        <c:noMultiLvlLbl val="0"/>
      </c:catAx>
      <c:valAx>
        <c:axId val="2009279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7090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[Excel_Sales_Dashboard.xlsx]Pivots_for_final!PivotTable14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baseline="0"/>
              <a:t>PRODUCT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Pivots_for_final!$C$19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Pivots_for_final!$B$20:$B$29</c:f>
              <c:strCache>
                <c:ptCount val="9"/>
                <c:pt idx="0">
                  <c:v>Dell 27 Monitor</c:v>
                </c:pt>
                <c:pt idx="1">
                  <c:v>iPhone 15</c:v>
                </c:pt>
                <c:pt idx="2">
                  <c:v>MacBook Air M3</c:v>
                </c:pt>
                <c:pt idx="3">
                  <c:v>Mechanical Keyboard</c:v>
                </c:pt>
                <c:pt idx="4">
                  <c:v>PlayStation 5</c:v>
                </c:pt>
                <c:pt idx="5">
                  <c:v>Samsung S24</c:v>
                </c:pt>
                <c:pt idx="6">
                  <c:v>ThinkPad T14</c:v>
                </c:pt>
                <c:pt idx="7">
                  <c:v>Wireless Mouse</c:v>
                </c:pt>
                <c:pt idx="8">
                  <c:v>Xbox Series X</c:v>
                </c:pt>
              </c:strCache>
            </c:strRef>
          </c:cat>
          <c:val>
            <c:numRef>
              <c:f>Pivots_for_final!$C$20:$C$29</c:f>
              <c:numCache>
                <c:formatCode>General</c:formatCode>
                <c:ptCount val="9"/>
                <c:pt idx="0">
                  <c:v>560</c:v>
                </c:pt>
                <c:pt idx="1">
                  <c:v>999</c:v>
                </c:pt>
                <c:pt idx="2">
                  <c:v>1200</c:v>
                </c:pt>
                <c:pt idx="3">
                  <c:v>120</c:v>
                </c:pt>
                <c:pt idx="4">
                  <c:v>550</c:v>
                </c:pt>
                <c:pt idx="5">
                  <c:v>950</c:v>
                </c:pt>
                <c:pt idx="6">
                  <c:v>1100</c:v>
                </c:pt>
                <c:pt idx="7">
                  <c:v>100</c:v>
                </c:pt>
                <c:pt idx="8">
                  <c:v>530</c:v>
                </c:pt>
              </c:numCache>
            </c:numRef>
          </c:val>
          <c:extLst>
            <c:ext xmlns:c16="http://schemas.microsoft.com/office/drawing/2014/chart" uri="{C3380CC4-5D6E-409C-BE32-E72D297353CC}">
              <c16:uniqueId val="{00000005-12E1-4EC5-9262-06BBB75840A7}"/>
            </c:ext>
          </c:extLst>
        </c:ser>
        <c:dLbls>
          <c:dLblPos val="inEnd"/>
          <c:showLegendKey val="0"/>
          <c:showVal val="0"/>
          <c:showCatName val="0"/>
          <c:showSerName val="0"/>
          <c:showPercent val="0"/>
          <c:showBubbleSize val="0"/>
        </c:dLbls>
        <c:gapWidth val="115"/>
        <c:overlap val="-20"/>
        <c:axId val="1768351103"/>
        <c:axId val="2009247055"/>
      </c:barChart>
      <c:catAx>
        <c:axId val="17683511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09247055"/>
        <c:crosses val="autoZero"/>
        <c:auto val="1"/>
        <c:lblAlgn val="ctr"/>
        <c:lblOffset val="100"/>
        <c:noMultiLvlLbl val="0"/>
      </c:catAx>
      <c:valAx>
        <c:axId val="2009247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683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2"/>
            </a:solidFill>
            <a:ln>
              <a:noFill/>
            </a:ln>
            <a:effectLst/>
          </c:spPr>
          <c:invertIfNegative val="0"/>
          <c:cat>
            <c:strLit>
              <c:ptCount val="3"/>
              <c:pt idx="0">
                <c:v>Card</c:v>
              </c:pt>
              <c:pt idx="1">
                <c:v>Cash</c:v>
              </c:pt>
              <c:pt idx="2">
                <c:v>Transfer</c:v>
              </c:pt>
            </c:strLit>
          </c:cat>
          <c:val>
            <c:numLit>
              <c:formatCode>General</c:formatCode>
              <c:ptCount val="3"/>
              <c:pt idx="0">
                <c:v>5</c:v>
              </c:pt>
              <c:pt idx="1">
                <c:v>2</c:v>
              </c:pt>
              <c:pt idx="2">
                <c:v>2</c:v>
              </c:pt>
            </c:numLit>
          </c:val>
          <c:extLst>
            <c:ext xmlns:c16="http://schemas.microsoft.com/office/drawing/2014/chart" uri="{C3380CC4-5D6E-409C-BE32-E72D297353CC}">
              <c16:uniqueId val="{00000004-F59D-463F-89CA-641EE92DAA76}"/>
            </c:ext>
          </c:extLst>
        </c:ser>
        <c:dLbls>
          <c:showLegendKey val="0"/>
          <c:showVal val="0"/>
          <c:showCatName val="0"/>
          <c:showSerName val="0"/>
          <c:showPercent val="0"/>
          <c:showBubbleSize val="0"/>
        </c:dLbls>
        <c:gapWidth val="150"/>
        <c:overlap val="100"/>
        <c:axId val="62454496"/>
        <c:axId val="1355680239"/>
      </c:barChart>
      <c:catAx>
        <c:axId val="6245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55680239"/>
        <c:crosses val="autoZero"/>
        <c:auto val="1"/>
        <c:lblAlgn val="ctr"/>
        <c:lblOffset val="100"/>
        <c:noMultiLvlLbl val="0"/>
      </c:catAx>
      <c:valAx>
        <c:axId val="1355680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245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[Excel_Sales_Dashboard.xlsx]Pivots_for_final!PivotTable15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Pivots_for_final!$N$20</c:f>
              <c:strCache>
                <c:ptCount val="1"/>
                <c:pt idx="0">
                  <c:v>Total</c:v>
                </c:pt>
              </c:strCache>
            </c:strRef>
          </c:tx>
          <c:spPr>
            <a:solidFill>
              <a:schemeClr val="accent4"/>
            </a:solidFill>
            <a:ln>
              <a:noFill/>
            </a:ln>
            <a:effectLst/>
          </c:spPr>
          <c:invertIfNegative val="0"/>
          <c:cat>
            <c:strRef>
              <c:f>Pivots_for_final!$M$21:$M$27</c:f>
              <c:strCache>
                <c:ptCount val="6"/>
                <c:pt idx="0">
                  <c:v>1</c:v>
                </c:pt>
                <c:pt idx="1">
                  <c:v>2</c:v>
                </c:pt>
                <c:pt idx="2">
                  <c:v>3</c:v>
                </c:pt>
                <c:pt idx="3">
                  <c:v>4</c:v>
                </c:pt>
                <c:pt idx="4">
                  <c:v>5</c:v>
                </c:pt>
                <c:pt idx="5">
                  <c:v>6</c:v>
                </c:pt>
              </c:strCache>
            </c:strRef>
          </c:cat>
          <c:val>
            <c:numRef>
              <c:f>Pivots_for_final!$N$21:$N$27</c:f>
              <c:numCache>
                <c:formatCode>General</c:formatCode>
                <c:ptCount val="6"/>
                <c:pt idx="0">
                  <c:v>1420</c:v>
                </c:pt>
                <c:pt idx="1">
                  <c:v>2099</c:v>
                </c:pt>
                <c:pt idx="2">
                  <c:v>560</c:v>
                </c:pt>
                <c:pt idx="3">
                  <c:v>950</c:v>
                </c:pt>
                <c:pt idx="4">
                  <c:v>550</c:v>
                </c:pt>
                <c:pt idx="5">
                  <c:v>530</c:v>
                </c:pt>
              </c:numCache>
            </c:numRef>
          </c:val>
          <c:extLst>
            <c:ext xmlns:c16="http://schemas.microsoft.com/office/drawing/2014/chart" uri="{C3380CC4-5D6E-409C-BE32-E72D297353CC}">
              <c16:uniqueId val="{00000005-A381-4241-BC60-316229868C8F}"/>
            </c:ext>
          </c:extLst>
        </c:ser>
        <c:dLbls>
          <c:showLegendKey val="0"/>
          <c:showVal val="0"/>
          <c:showCatName val="0"/>
          <c:showSerName val="0"/>
          <c:showPercent val="0"/>
          <c:showBubbleSize val="0"/>
        </c:dLbls>
        <c:gapWidth val="150"/>
        <c:overlap val="100"/>
        <c:axId val="1770843535"/>
        <c:axId val="838816847"/>
      </c:barChart>
      <c:catAx>
        <c:axId val="177084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38816847"/>
        <c:crosses val="autoZero"/>
        <c:auto val="1"/>
        <c:lblAlgn val="ctr"/>
        <c:lblOffset val="100"/>
        <c:noMultiLvlLbl val="0"/>
      </c:catAx>
      <c:valAx>
        <c:axId val="838816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7084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[Excel_Sales_Dashboard.xlsx]Pivots_for_final!PivotTable1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Pivots_for_final!$C$3</c:f>
              <c:strCache>
                <c:ptCount val="1"/>
                <c:pt idx="0">
                  <c:v>Total</c:v>
                </c:pt>
              </c:strCache>
            </c:strRef>
          </c:tx>
          <c:spPr>
            <a:solidFill>
              <a:schemeClr val="accent4"/>
            </a:solidFill>
            <a:ln>
              <a:noFill/>
            </a:ln>
            <a:effectLst/>
          </c:spPr>
          <c:invertIfNegative val="0"/>
          <c:cat>
            <c:strRef>
              <c:f>Pivots_for_final!$B$4:$B$9</c:f>
              <c:strCache>
                <c:ptCount val="5"/>
                <c:pt idx="0">
                  <c:v>Accessories</c:v>
                </c:pt>
                <c:pt idx="1">
                  <c:v>Gaming</c:v>
                </c:pt>
                <c:pt idx="2">
                  <c:v>Laptops</c:v>
                </c:pt>
                <c:pt idx="3">
                  <c:v>Monitors</c:v>
                </c:pt>
                <c:pt idx="4">
                  <c:v>Smartphones</c:v>
                </c:pt>
              </c:strCache>
            </c:strRef>
          </c:cat>
          <c:val>
            <c:numRef>
              <c:f>Pivots_for_final!$C$4:$C$9</c:f>
              <c:numCache>
                <c:formatCode>General</c:formatCode>
                <c:ptCount val="5"/>
                <c:pt idx="0">
                  <c:v>220</c:v>
                </c:pt>
                <c:pt idx="1">
                  <c:v>1080</c:v>
                </c:pt>
                <c:pt idx="2">
                  <c:v>2300</c:v>
                </c:pt>
                <c:pt idx="3">
                  <c:v>560</c:v>
                </c:pt>
                <c:pt idx="4">
                  <c:v>1949</c:v>
                </c:pt>
              </c:numCache>
            </c:numRef>
          </c:val>
          <c:extLst>
            <c:ext xmlns:c16="http://schemas.microsoft.com/office/drawing/2014/chart" uri="{C3380CC4-5D6E-409C-BE32-E72D297353CC}">
              <c16:uniqueId val="{00000005-E396-449D-9778-2B84A432B87E}"/>
            </c:ext>
          </c:extLst>
        </c:ser>
        <c:dLbls>
          <c:showLegendKey val="0"/>
          <c:showVal val="0"/>
          <c:showCatName val="0"/>
          <c:showSerName val="0"/>
          <c:showPercent val="0"/>
          <c:showBubbleSize val="0"/>
        </c:dLbls>
        <c:gapWidth val="182"/>
        <c:axId val="1770908031"/>
        <c:axId val="2009279695"/>
      </c:barChart>
      <c:catAx>
        <c:axId val="177090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09279695"/>
        <c:crosses val="autoZero"/>
        <c:auto val="1"/>
        <c:lblAlgn val="ctr"/>
        <c:lblOffset val="100"/>
        <c:noMultiLvlLbl val="0"/>
      </c:catAx>
      <c:valAx>
        <c:axId val="2009279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7090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[Excel_Sales_Dashboard.xlsx]Pivots_for_final!PivotTable14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a:t>
            </a:r>
            <a:r>
              <a:rPr lang="en-US" baseline="0"/>
              <a:t>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Pivots_for_final!$C$19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Pivots_for_final!$B$20:$B$29</c:f>
              <c:strCache>
                <c:ptCount val="9"/>
                <c:pt idx="0">
                  <c:v>Dell 27 Monitor</c:v>
                </c:pt>
                <c:pt idx="1">
                  <c:v>iPhone 15</c:v>
                </c:pt>
                <c:pt idx="2">
                  <c:v>MacBook Air M3</c:v>
                </c:pt>
                <c:pt idx="3">
                  <c:v>Mechanical Keyboard</c:v>
                </c:pt>
                <c:pt idx="4">
                  <c:v>PlayStation 5</c:v>
                </c:pt>
                <c:pt idx="5">
                  <c:v>Samsung S24</c:v>
                </c:pt>
                <c:pt idx="6">
                  <c:v>ThinkPad T14</c:v>
                </c:pt>
                <c:pt idx="7">
                  <c:v>Wireless Mouse</c:v>
                </c:pt>
                <c:pt idx="8">
                  <c:v>Xbox Series X</c:v>
                </c:pt>
              </c:strCache>
            </c:strRef>
          </c:cat>
          <c:val>
            <c:numRef>
              <c:f>Pivots_for_final!$C$20:$C$29</c:f>
              <c:numCache>
                <c:formatCode>General</c:formatCode>
                <c:ptCount val="9"/>
                <c:pt idx="0">
                  <c:v>560</c:v>
                </c:pt>
                <c:pt idx="1">
                  <c:v>999</c:v>
                </c:pt>
                <c:pt idx="2">
                  <c:v>1200</c:v>
                </c:pt>
                <c:pt idx="3">
                  <c:v>120</c:v>
                </c:pt>
                <c:pt idx="4">
                  <c:v>550</c:v>
                </c:pt>
                <c:pt idx="5">
                  <c:v>950</c:v>
                </c:pt>
                <c:pt idx="6">
                  <c:v>1100</c:v>
                </c:pt>
                <c:pt idx="7">
                  <c:v>100</c:v>
                </c:pt>
                <c:pt idx="8">
                  <c:v>530</c:v>
                </c:pt>
              </c:numCache>
            </c:numRef>
          </c:val>
          <c:extLst>
            <c:ext xmlns:c16="http://schemas.microsoft.com/office/drawing/2014/chart" uri="{C3380CC4-5D6E-409C-BE32-E72D297353CC}">
              <c16:uniqueId val="{00000005-41DE-487A-9E44-BC94A73F72B5}"/>
            </c:ext>
          </c:extLst>
        </c:ser>
        <c:dLbls>
          <c:dLblPos val="inEnd"/>
          <c:showLegendKey val="0"/>
          <c:showVal val="1"/>
          <c:showCatName val="0"/>
          <c:showSerName val="0"/>
          <c:showPercent val="0"/>
          <c:showBubbleSize val="0"/>
        </c:dLbls>
        <c:gapWidth val="115"/>
        <c:overlap val="-20"/>
        <c:axId val="1768351103"/>
        <c:axId val="2009247055"/>
      </c:barChart>
      <c:catAx>
        <c:axId val="17683511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09247055"/>
        <c:crosses val="autoZero"/>
        <c:auto val="1"/>
        <c:lblAlgn val="ctr"/>
        <c:lblOffset val="100"/>
        <c:noMultiLvlLbl val="0"/>
      </c:catAx>
      <c:valAx>
        <c:axId val="2009247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683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152400</xdr:rowOff>
    </xdr:from>
    <xdr:ext cx="4991100" cy="405432"/>
    <xdr:sp macro="" textlink="">
      <xdr:nvSpPr>
        <xdr:cNvPr id="2" name="TextBox 1">
          <a:extLst>
            <a:ext uri="{FF2B5EF4-FFF2-40B4-BE49-F238E27FC236}">
              <a16:creationId xmlns:a16="http://schemas.microsoft.com/office/drawing/2014/main" id="{3C4B8883-3DA3-FB18-EF65-23F8227E8C1A}"/>
            </a:ext>
          </a:extLst>
        </xdr:cNvPr>
        <xdr:cNvSpPr txBox="1"/>
      </xdr:nvSpPr>
      <xdr:spPr>
        <a:xfrm>
          <a:off x="0" y="152400"/>
          <a:ext cx="49911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a:t>SALES</a:t>
          </a:r>
          <a:r>
            <a:rPr lang="en-US" sz="2000" baseline="0"/>
            <a:t> PERFOMANCE DASHBOARD</a:t>
          </a:r>
        </a:p>
      </xdr:txBody>
    </xdr:sp>
    <xdr:clientData/>
  </xdr:oneCellAnchor>
  <xdr:twoCellAnchor>
    <xdr:from>
      <xdr:col>0</xdr:col>
      <xdr:colOff>0</xdr:colOff>
      <xdr:row>4</xdr:row>
      <xdr:rowOff>352425</xdr:rowOff>
    </xdr:from>
    <xdr:to>
      <xdr:col>2</xdr:col>
      <xdr:colOff>866775</xdr:colOff>
      <xdr:row>19</xdr:row>
      <xdr:rowOff>19050</xdr:rowOff>
    </xdr:to>
    <xdr:graphicFrame macro="">
      <xdr:nvGraphicFramePr>
        <xdr:cNvPr id="3" name="Chart 2">
          <a:extLst>
            <a:ext uri="{FF2B5EF4-FFF2-40B4-BE49-F238E27FC236}">
              <a16:creationId xmlns:a16="http://schemas.microsoft.com/office/drawing/2014/main" id="{795AB338-309B-4DDF-8575-78C4CDE3C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781050</xdr:colOff>
      <xdr:row>4</xdr:row>
      <xdr:rowOff>342900</xdr:rowOff>
    </xdr:from>
    <xdr:to>
      <xdr:col>7</xdr:col>
      <xdr:colOff>133350</xdr:colOff>
      <xdr:row>19</xdr:row>
      <xdr:rowOff>9525</xdr:rowOff>
    </xdr:to>
    <xdr:graphicFrame macro="">
      <xdr:nvGraphicFramePr>
        <xdr:cNvPr id="4" name="Chart 3">
          <a:extLst>
            <a:ext uri="{FF2B5EF4-FFF2-40B4-BE49-F238E27FC236}">
              <a16:creationId xmlns:a16="http://schemas.microsoft.com/office/drawing/2014/main" id="{6E54D467-4EE4-4508-B399-1A5026143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9525</xdr:rowOff>
    </xdr:from>
    <xdr:to>
      <xdr:col>2</xdr:col>
      <xdr:colOff>1028700</xdr:colOff>
      <xdr:row>33</xdr:row>
      <xdr:rowOff>85725</xdr:rowOff>
    </xdr:to>
    <xdr:graphicFrame macro="">
      <xdr:nvGraphicFramePr>
        <xdr:cNvPr id="5" name="Chart 4">
          <a:extLst>
            <a:ext uri="{FF2B5EF4-FFF2-40B4-BE49-F238E27FC236}">
              <a16:creationId xmlns:a16="http://schemas.microsoft.com/office/drawing/2014/main" id="{D3FAC3E1-B816-46A4-9771-22C144BFD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962025</xdr:colOff>
      <xdr:row>19</xdr:row>
      <xdr:rowOff>19050</xdr:rowOff>
    </xdr:from>
    <xdr:to>
      <xdr:col>8</xdr:col>
      <xdr:colOff>219075</xdr:colOff>
      <xdr:row>33</xdr:row>
      <xdr:rowOff>95250</xdr:rowOff>
    </xdr:to>
    <xdr:graphicFrame macro="">
      <xdr:nvGraphicFramePr>
        <xdr:cNvPr id="6" name="Chart 5">
          <a:extLst>
            <a:ext uri="{FF2B5EF4-FFF2-40B4-BE49-F238E27FC236}">
              <a16:creationId xmlns:a16="http://schemas.microsoft.com/office/drawing/2014/main" id="{054F22C1-00D9-4029-BC58-32E629620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581025</xdr:colOff>
      <xdr:row>2</xdr:row>
      <xdr:rowOff>123825</xdr:rowOff>
    </xdr:from>
    <xdr:to>
      <xdr:col>10</xdr:col>
      <xdr:colOff>581025</xdr:colOff>
      <xdr:row>10</xdr:row>
      <xdr:rowOff>161925</xdr:rowOff>
    </xdr:to>
    <mc:AlternateContent xmlns:mc="http://schemas.openxmlformats.org/markup-compatibility/2006">
      <mc:Choice xmlns:a14="http://schemas.microsoft.com/office/drawing/2010/main" Requires="a14">
        <xdr:graphicFrame macro="">
          <xdr:nvGraphicFramePr>
            <xdr:cNvPr id="7" name="category_name 1">
              <a:extLst>
                <a:ext uri="{FF2B5EF4-FFF2-40B4-BE49-F238E27FC236}">
                  <a16:creationId xmlns:a16="http://schemas.microsoft.com/office/drawing/2014/main" id="{97CA039C-AF61-8F1E-1945-26B855FD9C29}"/>
                </a:ext>
              </a:extLst>
            </xdr:cNvPr>
            <xdr:cNvGraphicFramePr/>
          </xdr:nvGraphicFramePr>
          <xdr:xfrm>
            <a:off x="0" y="0"/>
            <a:ext cx="0" cy="0"/>
          </xdr:xfrm>
          <a:graphic>
            <a:graphicData uri="http://schemas.microsoft.com/office/drawing/2010/slicer">
              <sle:slicer xmlns:sle="http://schemas.microsoft.com/office/drawing/2010/slicer" name="category_name 1"/>
            </a:graphicData>
          </a:graphic>
        </xdr:graphicFrame>
      </mc:Choice>
      <mc:Fallback>
        <xdr:sp macro="" textlink="">
          <xdr:nvSpPr>
            <xdr:cNvPr id="0" name=""/>
            <xdr:cNvSpPr>
              <a:spLocks noTextEdit="1"/>
            </xdr:cNvSpPr>
          </xdr:nvSpPr>
          <xdr:spPr>
            <a:xfrm>
              <a:off x="7572375" y="504825"/>
              <a:ext cx="1828800" cy="18478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581025</xdr:colOff>
      <xdr:row>10</xdr:row>
      <xdr:rowOff>142874</xdr:rowOff>
    </xdr:from>
    <xdr:to>
      <xdr:col>10</xdr:col>
      <xdr:colOff>581025</xdr:colOff>
      <xdr:row>18</xdr:row>
      <xdr:rowOff>38100</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05465789-F174-7DE2-BAD5-457C7D26EB6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7572375" y="2333624"/>
              <a:ext cx="1828800" cy="1419226"/>
            </a:xfrm>
            <a:prstGeom prst="rect">
              <a:avLst/>
            </a:prstGeom>
            <a:solidFill>
              <a:prstClr val="white"/>
            </a:solidFill>
            <a:ln w="1">
              <a:solidFill>
                <a:prstClr val="green"/>
              </a:solidFill>
            </a:ln>
          </xdr:spPr>
          <xdr:txBody>
            <a:bodyPr vertOverflow="clip" horzOverflow="clip"/>
            <a:lstStyle/>
            <a:p>
              <a:r>
                <a:rPr lang="ru-RU" sz="1100"/>
                <a:t>Timeline: Works in Excel 2013 or higher. Do not move or resize.</a:t>
              </a:r>
            </a:p>
          </xdr:txBody>
        </xdr:sp>
      </mc:Fallback>
    </mc:AlternateContent>
    <xdr:clientData/>
  </xdr:twoCellAnchor>
  <xdr:twoCellAnchor editAs="oneCell">
    <xdr:from>
      <xdr:col>7</xdr:col>
      <xdr:colOff>581025</xdr:colOff>
      <xdr:row>18</xdr:row>
      <xdr:rowOff>28575</xdr:rowOff>
    </xdr:from>
    <xdr:to>
      <xdr:col>10</xdr:col>
      <xdr:colOff>581025</xdr:colOff>
      <xdr:row>24</xdr:row>
      <xdr:rowOff>161925</xdr:rowOff>
    </xdr:to>
    <mc:AlternateContent xmlns:mc="http://schemas.openxmlformats.org/markup-compatibility/2006">
      <mc:Choice xmlns:a14="http://schemas.microsoft.com/office/drawing/2010/main" Requires="a14">
        <xdr:graphicFrame macro="">
          <xdr:nvGraphicFramePr>
            <xdr:cNvPr id="11" name="payment_method 1">
              <a:extLst>
                <a:ext uri="{FF2B5EF4-FFF2-40B4-BE49-F238E27FC236}">
                  <a16:creationId xmlns:a16="http://schemas.microsoft.com/office/drawing/2014/main" id="{9EFA34A0-8305-AF2C-957B-B12119C24F86}"/>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7572375" y="3743325"/>
              <a:ext cx="1828800" cy="12763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17</xdr:row>
      <xdr:rowOff>47625</xdr:rowOff>
    </xdr:from>
    <xdr:to>
      <xdr:col>10</xdr:col>
      <xdr:colOff>530599</xdr:colOff>
      <xdr:row>31</xdr:row>
      <xdr:rowOff>123825</xdr:rowOff>
    </xdr:to>
    <xdr:graphicFrame macro="">
      <xdr:nvGraphicFramePr>
        <xdr:cNvPr id="2" name="Chart 1">
          <a:extLst>
            <a:ext uri="{FF2B5EF4-FFF2-40B4-BE49-F238E27FC236}">
              <a16:creationId xmlns:a16="http://schemas.microsoft.com/office/drawing/2014/main" id="{15C61F5E-D44B-4DB8-A28D-8F6FDC17C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261937</xdr:colOff>
      <xdr:row>4</xdr:row>
      <xdr:rowOff>109537</xdr:rowOff>
    </xdr:from>
    <xdr:to>
      <xdr:col>21</xdr:col>
      <xdr:colOff>566737</xdr:colOff>
      <xdr:row>18</xdr:row>
      <xdr:rowOff>185737</xdr:rowOff>
    </xdr:to>
    <xdr:graphicFrame macro="">
      <xdr:nvGraphicFramePr>
        <xdr:cNvPr id="3" name="Chart 2">
          <a:extLst>
            <a:ext uri="{FF2B5EF4-FFF2-40B4-BE49-F238E27FC236}">
              <a16:creationId xmlns:a16="http://schemas.microsoft.com/office/drawing/2014/main" id="{80248E25-B455-527B-D9BA-B71CEC5E9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166687</xdr:colOff>
      <xdr:row>22</xdr:row>
      <xdr:rowOff>157162</xdr:rowOff>
    </xdr:from>
    <xdr:to>
      <xdr:col>21</xdr:col>
      <xdr:colOff>471487</xdr:colOff>
      <xdr:row>37</xdr:row>
      <xdr:rowOff>42862</xdr:rowOff>
    </xdr:to>
    <xdr:graphicFrame macro="">
      <xdr:nvGraphicFramePr>
        <xdr:cNvPr id="4" name="Chart 3">
          <a:extLst>
            <a:ext uri="{FF2B5EF4-FFF2-40B4-BE49-F238E27FC236}">
              <a16:creationId xmlns:a16="http://schemas.microsoft.com/office/drawing/2014/main" id="{1A935CC2-8C4E-A7E0-2649-6D8512D8C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347662</xdr:colOff>
      <xdr:row>0</xdr:row>
      <xdr:rowOff>0</xdr:rowOff>
    </xdr:from>
    <xdr:to>
      <xdr:col>13</xdr:col>
      <xdr:colOff>661987</xdr:colOff>
      <xdr:row>14</xdr:row>
      <xdr:rowOff>76200</xdr:rowOff>
    </xdr:to>
    <xdr:graphicFrame macro="">
      <xdr:nvGraphicFramePr>
        <xdr:cNvPr id="5" name="Chart 4">
          <a:extLst>
            <a:ext uri="{FF2B5EF4-FFF2-40B4-BE49-F238E27FC236}">
              <a16:creationId xmlns:a16="http://schemas.microsoft.com/office/drawing/2014/main" id="{13995331-2F61-EF70-3992-2AE285CFD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xcel/day%2015-19.xlsx" TargetMode="External"/><Relationship Id="rId2" Type="http://schemas.openxmlformats.org/officeDocument/2006/relationships/externalLinkPath" Target="file:///C:\Users\User\Documents\data-analyst\Excel\day%2015-19.xlsx" TargetMode="External"/><Relationship Id="rId1" Type="http://schemas.openxmlformats.org/officeDocument/2006/relationships/externalLinkPath" Target="/Users/User/Documents/data-analyst/Excel/day%2015-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ustomers"/>
      <sheetName val="categories"/>
      <sheetName val="Products"/>
      <sheetName val="Detail1"/>
      <sheetName val="Detail2"/>
      <sheetName val="Detail3"/>
      <sheetName val="customer_pivot_practice"/>
      <sheetName val="dashboard"/>
      <sheetName val="Product_pivot_practice"/>
      <sheetName val="category_pivot_practice"/>
      <sheetName val="Detail4"/>
      <sheetName val="payments_pivot_practice"/>
      <sheetName val="Orders"/>
      <sheetName val="Order_items"/>
      <sheetName val="Payments"/>
      <sheetName val="Practice"/>
    </sheetNames>
    <sheetDataSet>
      <sheetData sheetId="0"/>
      <sheetData sheetId="1">
        <row r="1">
          <cell r="A1" t="str">
            <v>category_id</v>
          </cell>
          <cell r="B1" t="str">
            <v>category_name</v>
          </cell>
        </row>
        <row r="2">
          <cell r="A2">
            <v>1</v>
          </cell>
          <cell r="B2" t="str">
            <v>Laptops</v>
          </cell>
        </row>
        <row r="3">
          <cell r="A3">
            <v>2</v>
          </cell>
          <cell r="B3" t="str">
            <v>Smartphones</v>
          </cell>
        </row>
        <row r="4">
          <cell r="A4">
            <v>3</v>
          </cell>
          <cell r="B4" t="str">
            <v>Accessories</v>
          </cell>
        </row>
        <row r="5">
          <cell r="A5">
            <v>4</v>
          </cell>
          <cell r="B5" t="str">
            <v>Monitors</v>
          </cell>
        </row>
        <row r="6">
          <cell r="A6">
            <v>5</v>
          </cell>
          <cell r="B6" t="str">
            <v>Gaming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47915393516" createdVersion="5" refreshedVersion="8" minRefreshableVersion="3" recordCount="0" supportSubquery="1" supportAdvancedDrill="1" xr:uid="{C9215C25-3292-4AA9-9519-020F2651E5F2}">
  <cacheSource type="external" connectionId="1"/>
  <cacheFields count="2">
    <cacheField name="[tbl_products].[category_name].[category_name]" caption="category_name" numFmtId="0" hierarchy="27" level="1">
      <sharedItems count="5">
        <s v="Accessories"/>
        <s v="Gaming"/>
        <s v="Laptops"/>
        <s v="Monitors"/>
        <s v="Smartphones"/>
      </sharedItems>
    </cacheField>
    <cacheField name="[Measures].[Total Revenue]" caption="Total Revenue" numFmtId="0" hierarchy="38" level="32767"/>
  </cacheFields>
  <cacheHierarchies count="51">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0"/>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tbl_order_items" count="0" oneField="1">
      <fieldsUsage count="1">
        <fieldUsage x="1"/>
      </fieldsUsage>
    </cacheHierarchy>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Average Order]" caption="Average Order" measure="1" displayFolder="" measureGroup="tbl_order_item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47915740739" createdVersion="5" refreshedVersion="8" minRefreshableVersion="3" recordCount="0" supportSubquery="1" supportAdvancedDrill="1" xr:uid="{8FF56B87-22B9-4FC6-8C5C-395057AB6555}">
  <cacheSource type="external" connectionId="1"/>
  <cacheFields count="3">
    <cacheField name="[tbl_products].[product_name].[product_name]" caption="product_name" numFmtId="0" hierarchy="24" level="1">
      <sharedItems count="9">
        <s v="Dell 27 Monitor"/>
        <s v="iPhone 15"/>
        <s v="MacBook Air M3"/>
        <s v="Mechanical Keyboard"/>
        <s v="PlayStation 5"/>
        <s v="Samsung S24"/>
        <s v="ThinkPad T14"/>
        <s v="Wireless Mouse"/>
        <s v="Xbox Series X"/>
      </sharedItems>
    </cacheField>
    <cacheField name="[Measures].[Total Revenue]" caption="Total Revenue" numFmtId="0" hierarchy="38" level="32767"/>
    <cacheField name="[tbl_products].[category_name].[category_name]" caption="category_name" numFmtId="0" hierarchy="27" level="1">
      <sharedItems containsSemiMixedTypes="0" containsNonDate="0" containsString="0"/>
    </cacheField>
  </cacheFields>
  <cacheHierarchies count="51">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2" memberValueDatatype="130" unbalanced="0">
      <fieldsUsage count="2">
        <fieldUsage x="-1"/>
        <fieldUsage x="0"/>
      </fieldsUsage>
    </cacheHierarchy>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2"/>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tbl_order_items" count="0" oneField="1">
      <fieldsUsage count="1">
        <fieldUsage x="1"/>
      </fieldsUsage>
    </cacheHierarchy>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Average Order]" caption="Average Order" measure="1" displayFolder="" measureGroup="tbl_order_item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47916087962" createdVersion="5" refreshedVersion="8" minRefreshableVersion="3" recordCount="0" supportSubquery="1" supportAdvancedDrill="1" xr:uid="{347D6EAE-829F-401F-A25F-08A37C713078}">
  <cacheSource type="external" connectionId="1"/>
  <cacheFields count="3">
    <cacheField name="[tbl_customers].[customer_id].[customer_id]" caption="customer_id" numFmtId="0"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tbl_customers].[customer_id].&amp;[1]"/>
            <x15:cachedUniqueName index="1" name="[tbl_customers].[customer_id].&amp;[2]"/>
            <x15:cachedUniqueName index="2" name="[tbl_customers].[customer_id].&amp;[3]"/>
            <x15:cachedUniqueName index="3" name="[tbl_customers].[customer_id].&amp;[4]"/>
            <x15:cachedUniqueName index="4" name="[tbl_customers].[customer_id].&amp;[5]"/>
            <x15:cachedUniqueName index="5" name="[tbl_customers].[customer_id].&amp;[6]"/>
          </x15:cachedUniqueNames>
        </ext>
      </extLst>
    </cacheField>
    <cacheField name="[Measures].[Total Revenue]" caption="Total Revenue" numFmtId="0" hierarchy="38" level="32767"/>
    <cacheField name="[tbl_products].[category_name].[category_name]" caption="category_name" numFmtId="0" hierarchy="27" level="1">
      <sharedItems containsSemiMixedTypes="0" containsNonDate="0" containsString="0"/>
    </cacheField>
  </cacheFields>
  <cacheHierarchies count="51">
    <cacheHierarchy uniqueName="[tbl_customers].[customer_id]" caption="customer_id" attribute="1" defaultMemberUniqueName="[tbl_customers].[customer_id].[All]" allUniqueName="[tbl_customers].[customer_id].[All]" dimensionUniqueName="[tbl_customers]" displayFolder="" count="2" memberValueDatatype="20" unbalanced="0">
      <fieldsUsage count="2">
        <fieldUsage x="-1"/>
        <fieldUsage x="0"/>
      </fieldsUsage>
    </cacheHierarchy>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2"/>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tbl_order_items" count="0" oneField="1">
      <fieldsUsage count="1">
        <fieldUsage x="1"/>
      </fieldsUsage>
    </cacheHierarchy>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Average Order]" caption="Average Order" measure="1" displayFolder="" measureGroup="tbl_order_item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47916087962" createdVersion="5" refreshedVersion="8" minRefreshableVersion="3" recordCount="0" supportSubquery="1" supportAdvancedDrill="1" xr:uid="{25FB61CB-B633-4B67-A565-8B74A376BC28}">
  <cacheSource type="external" connectionId="1"/>
  <cacheFields count="2">
    <cacheField name="[Measures].[Total Revenue]" caption="Total Revenue" numFmtId="0" hierarchy="38" level="32767"/>
    <cacheField name="[tbl_products].[category_name].[category_name]" caption="category_name" numFmtId="0" hierarchy="27" level="1">
      <sharedItems containsSemiMixedTypes="0" containsNonDate="0" containsString="0"/>
    </cacheField>
  </cacheFields>
  <cacheHierarchies count="51">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1"/>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tbl_order_items" count="0" oneField="1">
      <fieldsUsage count="1">
        <fieldUsage x="0"/>
      </fieldsUsage>
    </cacheHierarchy>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Average Order]" caption="Average Order" measure="1" displayFolder="" measureGroup="tbl_order_item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47916203701" createdVersion="5" refreshedVersion="8" minRefreshableVersion="3" recordCount="0" supportSubquery="1" supportAdvancedDrill="1" xr:uid="{C24FFAF4-FC77-454B-AA55-E7CE0FE3416A}">
  <cacheSource type="external" connectionId="1"/>
  <cacheFields count="2">
    <cacheField name="[Measures].[Total Customers]" caption="Total Customers" numFmtId="0" hierarchy="43" level="32767"/>
    <cacheField name="[tbl_products].[category_name].[category_name]" caption="category_name" numFmtId="0" hierarchy="27" level="1">
      <sharedItems containsSemiMixedTypes="0" containsNonDate="0" containsString="0"/>
    </cacheField>
  </cacheFields>
  <cacheHierarchies count="51">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1"/>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tbl_order_items" count="0"/>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oneField="1">
      <fieldsUsage count="1">
        <fieldUsage x="0"/>
      </fieldsUsage>
    </cacheHierarchy>
    <cacheHierarchy uniqueName="[Measures].[Average Order]" caption="Average Order" measure="1" displayFolder="" measureGroup="tbl_order_item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47916203701" createdVersion="5" refreshedVersion="8" minRefreshableVersion="3" recordCount="0" supportSubquery="1" supportAdvancedDrill="1" xr:uid="{13869082-1615-4EB4-9E22-A96BE46A7F77}">
  <cacheSource type="external" connectionId="1"/>
  <cacheFields count="2">
    <cacheField name="[Measures].[Total Orders]" caption="Total Orders" numFmtId="0" hierarchy="42" level="32767"/>
    <cacheField name="[tbl_products].[category_name].[category_name]" caption="category_name" numFmtId="0" hierarchy="27" level="1">
      <sharedItems containsSemiMixedTypes="0" containsNonDate="0" containsString="0"/>
    </cacheField>
  </cacheFields>
  <cacheHierarchies count="51">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1"/>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tbl_order_items" count="0"/>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oneField="1">
      <fieldsUsage count="1">
        <fieldUsage x="0"/>
      </fieldsUsage>
    </cacheHierarchy>
    <cacheHierarchy uniqueName="[Measures].[Total Customers]" caption="Total Customers" measure="1" displayFolder="" measureGroup="tbl_customers" count="0"/>
    <cacheHierarchy uniqueName="[Measures].[Average Order]" caption="Average Order" measure="1" displayFolder="" measureGroup="tbl_order_item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47916319447" createdVersion="5" refreshedVersion="8" minRefreshableVersion="3" recordCount="0" supportSubquery="1" supportAdvancedDrill="1" xr:uid="{CC1FD5A0-039A-44CA-B1DA-F83ED4631D87}">
  <cacheSource type="external" connectionId="1"/>
  <cacheFields count="2">
    <cacheField name="[Measures].[Average Order]" caption="Average Order" numFmtId="0" hierarchy="44" level="32767"/>
    <cacheField name="[tbl_products].[category_name].[category_name]" caption="category_name" numFmtId="0" hierarchy="27" level="1">
      <sharedItems containsSemiMixedTypes="0" containsNonDate="0" containsString="0"/>
    </cacheField>
  </cacheFields>
  <cacheHierarchies count="51">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1"/>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tbl_order_items" count="0"/>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Average Order]" caption="Average Order" measure="1" displayFolder="" measureGroup="tbl_order_items" count="0" oneField="1">
      <fieldsUsage count="1">
        <fieldUsage x="0"/>
      </fieldsUsage>
    </cacheHierarchy>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47916319447" createdVersion="5" refreshedVersion="8" minRefreshableVersion="3" recordCount="0" supportSubquery="1" supportAdvancedDrill="1" xr:uid="{1410963D-8201-4E95-9943-8D0BFB82D3A4}">
  <cacheSource type="external" connectionId="1"/>
  <cacheFields count="2">
    <cacheField name="[Measures].[Average Order]" caption="Average Order" numFmtId="0" hierarchy="44" level="32767"/>
    <cacheField name="[tbl_products].[category_name].[category_name]" caption="category_name" numFmtId="0" hierarchy="27" level="1">
      <sharedItems containsSemiMixedTypes="0" containsNonDate="0" containsString="0"/>
    </cacheField>
  </cacheFields>
  <cacheHierarchies count="51">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1"/>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tbl_order_items" count="0"/>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Average Order]" caption="Average Order" measure="1" displayFolder="" measureGroup="tbl_order_items" count="0" oneField="1">
      <fieldsUsage count="1">
        <fieldUsage x="0"/>
      </fieldsUsage>
    </cacheHierarchy>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47916435185" createdVersion="5" refreshedVersion="8" minRefreshableVersion="3" recordCount="0" supportSubquery="1" supportAdvancedDrill="1" xr:uid="{2539C065-2D95-4F18-AFF2-3252A1454C1D}">
  <cacheSource type="external" connectionId="1"/>
  <cacheFields count="2">
    <cacheField name="[Measures].[Total Orders]" caption="Total Orders" numFmtId="0" hierarchy="42" level="32767"/>
    <cacheField name="[tbl_products].[category_name].[category_name]" caption="category_name" numFmtId="0" hierarchy="27" level="1">
      <sharedItems containsSemiMixedTypes="0" containsNonDate="0" containsString="0"/>
    </cacheField>
  </cacheFields>
  <cacheHierarchies count="51">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1"/>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tbl_order_items" count="0"/>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oneField="1">
      <fieldsUsage count="1">
        <fieldUsage x="0"/>
      </fieldsUsage>
    </cacheHierarchy>
    <cacheHierarchy uniqueName="[Measures].[Total Customers]" caption="Total Customers" measure="1" displayFolder="" measureGroup="tbl_customers" count="0"/>
    <cacheHierarchy uniqueName="[Measures].[Average Order]" caption="Average Order" measure="1" displayFolder="" measureGroup="tbl_order_item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47916550924" createdVersion="5" refreshedVersion="8" minRefreshableVersion="3" recordCount="0" supportSubquery="1" supportAdvancedDrill="1" xr:uid="{59498DBD-C726-49FD-8E34-C19D283ED216}">
  <cacheSource type="external" connectionId="1"/>
  <cacheFields count="2">
    <cacheField name="[Measures].[Total Customers]" caption="Total Customers" numFmtId="0" hierarchy="43" level="32767"/>
    <cacheField name="[tbl_products].[category_name].[category_name]" caption="category_name" numFmtId="0" hierarchy="27" level="1">
      <sharedItems containsSemiMixedTypes="0" containsNonDate="0" containsString="0"/>
    </cacheField>
  </cacheFields>
  <cacheHierarchies count="51">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1"/>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tbl_order_items" count="0"/>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oneField="1">
      <fieldsUsage count="1">
        <fieldUsage x="0"/>
      </fieldsUsage>
    </cacheHierarchy>
    <cacheHierarchy uniqueName="[Measures].[Average Order]" caption="Average Order" measure="1" displayFolder="" measureGroup="tbl_order_item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4791666667" createdVersion="5" refreshedVersion="8" minRefreshableVersion="3" recordCount="0" supportSubquery="1" supportAdvancedDrill="1" xr:uid="{89933629-74D6-4FCB-A2DD-C799AC64CC54}">
  <cacheSource type="external" connectionId="1"/>
  <cacheFields count="2">
    <cacheField name="[Measures].[Total Revenue]" caption="Total Revenue" numFmtId="0" hierarchy="38" level="32767"/>
    <cacheField name="[tbl_products].[category_name].[category_name]" caption="category_name" numFmtId="0" hierarchy="27" level="1">
      <sharedItems containsSemiMixedTypes="0" containsNonDate="0" containsString="0"/>
    </cacheField>
  </cacheFields>
  <cacheHierarchies count="51">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1"/>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tbl_order_items" count="0" oneField="1">
      <fieldsUsage count="1">
        <fieldUsage x="0"/>
      </fieldsUsage>
    </cacheHierarchy>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Average Order]" caption="Average Order" measure="1" displayFolder="" measureGroup="tbl_order_item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16706365743" backgroundQuery="1" createdVersion="3" refreshedVersion="8" minRefreshableVersion="3" recordCount="0" supportSubquery="1" supportAdvancedDrill="1" xr:uid="{CBDF2373-D0F4-4482-BE0C-7575701D49EC}">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Measures]" caption="Measures" attribute="1" keyAttribute="1" defaultMemberUniqueName="[Measures].[__No measures defined]" dimensionUniqueName="[Measures]" displayFolder="" measures="1" count="1" memberValueDatatype="130" unbalanced="0"/>
    <cacheHierarchy uniqueName="[tbl_customers].[customer_id]" caption="customer_id" attribute="1" defaultMemberUniqueName="[tbl_customers].[customer_id].[All]" allUniqueName="[tbl_customers].[customer_id].[All]" dimensionUniqueName="[tbl_customers]" displayFolder="" count="2" memberValueDatatype="20" unbalanced="0"/>
    <cacheHierarchy uniqueName="[tbl_customers].[first_name]" caption="first_name" attribute="1" defaultMemberUniqueName="[tbl_customers].[first_name].[All]" allUniqueName="[tbl_customers].[first_name].[All]" dimensionUniqueName="[tbl_customers]" displayFolder="" count="2" memberValueDatatype="130" unbalanced="0"/>
    <cacheHierarchy uniqueName="[tbl_customers].[last_name]" caption="last_name" attribute="1" defaultMemberUniqueName="[tbl_customers].[last_name].[All]" allUniqueName="[tbl_customers].[last_name].[All]" dimensionUniqueName="[tbl_customers]" displayFolder="" count="2" memberValueDatatype="130" unbalanced="0"/>
    <cacheHierarchy uniqueName="[tbl_customers].[city]" caption="city" attribute="1" defaultMemberUniqueName="[tbl_customers].[city].[All]" allUniqueName="[tbl_customers].[city].[All]" dimensionUniqueName="[tbl_customers]" displayFolder="" count="2"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2"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2"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2"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2" memberValueDatatype="130" unbalanced="0"/>
    <cacheHierarchy uniqueName="[tbl_order_items].[order_item_id]" caption="order_item_id" attribute="1" defaultMemberUniqueName="[tbl_order_items].[order_item_id].[All]" allUniqueName="[tbl_order_items].[order_item_id].[All]" dimensionUniqueName="[tbl_order_items]" displayFolder="" count="2" memberValueDatatype="20" unbalanced="0"/>
    <cacheHierarchy uniqueName="[tbl_order_items].[order_id]" caption="order_id" attribute="1" defaultMemberUniqueName="[tbl_order_items].[order_id].[All]" allUniqueName="[tbl_order_items].[order_id].[All]" dimensionUniqueName="[tbl_order_items]" displayFolder="" count="2" memberValueDatatype="20" unbalanced="0"/>
    <cacheHierarchy uniqueName="[tbl_order_items].[product_id]" caption="product_id" attribute="1" defaultMemberUniqueName="[tbl_order_items].[product_id].[All]" allUniqueName="[tbl_order_items].[product_id].[All]" dimensionUniqueName="[tbl_order_items]" displayFolder="" count="2" memberValueDatatype="20" unbalanced="0"/>
    <cacheHierarchy uniqueName="[tbl_order_items].[quantity]" caption="quantity" attribute="1" defaultMemberUniqueName="[tbl_order_items].[quantity].[All]" allUniqueName="[tbl_order_items].[quantity].[All]" dimensionUniqueName="[tbl_order_items]" displayFolder="" count="2" memberValueDatatype="20" unbalanced="0"/>
    <cacheHierarchy uniqueName="[tbl_order_items].[unit_price]" caption="unit_price" attribute="1" defaultMemberUniqueName="[tbl_order_items].[unit_price].[All]" allUniqueName="[tbl_order_items].[unit_price].[All]" dimensionUniqueName="[tbl_order_items]" displayFolder="" count="2" memberValueDatatype="20" unbalanced="0"/>
    <cacheHierarchy uniqueName="[tbl_orders].[order_id]" caption="order_id" attribute="1" defaultMemberUniqueName="[tbl_orders].[order_id].[All]" allUniqueName="[tbl_orders].[order_id].[All]" dimensionUniqueName="[tbl_orders]" displayFolder="" count="2" memberValueDatatype="20" unbalanced="0"/>
    <cacheHierarchy uniqueName="[tbl_orders].[customer_id]" caption="customer_id" attribute="1" defaultMemberUniqueName="[tbl_orders].[customer_id].[All]" allUniqueName="[tbl_orders].[customer_id].[All]" dimensionUniqueName="[tbl_orders]" displayFolder="" count="2"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2" memberValueDatatype="130" unbalanced="0"/>
    <cacheHierarchy uniqueName="[tbl_orders].[amount]" caption="amount" attribute="1" defaultMemberUniqueName="[tbl_orders].[amount].[All]" allUniqueName="[tbl_orders].[amount].[All]" dimensionUniqueName="[tbl_orders]" displayFolder="" count="2" memberValueDatatype="130" unbalanced="0"/>
    <cacheHierarchy uniqueName="[tbl_payments].[payment_id]" caption="payment_id" attribute="1" defaultMemberUniqueName="[tbl_payments].[payment_id].[All]" allUniqueName="[tbl_payments].[payment_id].[All]" dimensionUniqueName="[tbl_payments]" displayFolder="" count="2" memberValueDatatype="20" unbalanced="0"/>
    <cacheHierarchy uniqueName="[tbl_payments].[order_id]" caption="order_id" attribute="1" defaultMemberUniqueName="[tbl_payments].[order_id].[All]" allUniqueName="[tbl_payments].[order_id].[All]" dimensionUniqueName="[tbl_payments]" displayFolder="" count="2"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2" memberValueDatatype="130" unbalanced="0"/>
    <cacheHierarchy uniqueName="[tbl_payments].[payment_date]" caption="payment_date" attribute="1" time="1" defaultMemberUniqueName="[tbl_payments].[payment_date].[All]" allUniqueName="[tbl_payments].[payment_date].[All]" dimensionUniqueName="[tbl_payments]" displayFolder="" count="2" memberValueDatatype="7" unbalanced="0"/>
    <cacheHierarchy uniqueName="[tbl_products].[product_id]" caption="product_id" attribute="1" defaultMemberUniqueName="[tbl_products].[product_id].[All]" allUniqueName="[tbl_products].[product_id].[All]" dimensionUniqueName="[tbl_products]" displayFolder="" count="2" memberValueDatatype="20" unbalanced="0"/>
    <cacheHierarchy uniqueName="[tbl_products].[product_name]" caption="product_name" attribute="1" defaultMemberUniqueName="[tbl_products].[product_name].[All]" allUniqueName="[tbl_products].[product_name].[All]" dimensionUniqueName="[tbl_products]" displayFolder="" count="2" memberValueDatatype="130" unbalanced="0"/>
    <cacheHierarchy uniqueName="[tbl_products].[category_id]" caption="category_id" attribute="1" defaultMemberUniqueName="[tbl_products].[category_id].[All]" allUniqueName="[tbl_products].[category_id].[All]" dimensionUniqueName="[tbl_products]" displayFolder="" count="2" memberValueDatatype="20" unbalanced="0"/>
    <cacheHierarchy uniqueName="[tbl_products].[price]" caption="price" attribute="1" defaultMemberUniqueName="[tbl_products].[price].[All]" allUniqueName="[tbl_products].[price].[All]" dimensionUniqueName="[tbl_products]" displayFolder="" count="2"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2"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2"/>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5"/>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4"/>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tbl_order_items" count="0"/>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Average Order]" caption="Average Order" measure="1" displayFolder="" measureGroup="tbl_order_item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licerData="1" pivotCacheId="160670748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6.017538425927" backgroundQuery="1" createdVersion="3" refreshedVersion="8" minRefreshableVersion="3" recordCount="0" supportSubquery="1" supportAdvancedDrill="1" xr:uid="{FAE883DF-D494-4058-9C5E-FBE1B56E5043}">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Measures]" caption="Measures" attribute="1" keyAttribute="1" defaultMemberUniqueName="[Measures].[__No measures defined]" dimensionUniqueName="[Measures]" displayFolder="" measures="1" count="1" memberValueDatatype="130" unbalanced="0"/>
    <cacheHierarchy uniqueName="[tbl_customers].[customer_id]" caption="customer_id" attribute="1" defaultMemberUniqueName="[tbl_customers].[customer_id].[All]" allUniqueName="[tbl_customers].[customer_id].[All]" dimensionUniqueName="[tbl_customers]" displayFolder="" count="2" memberValueDatatype="20" unbalanced="0"/>
    <cacheHierarchy uniqueName="[tbl_customers].[first_name]" caption="first_name" attribute="1" defaultMemberUniqueName="[tbl_customers].[first_name].[All]" allUniqueName="[tbl_customers].[first_name].[All]" dimensionUniqueName="[tbl_customers]" displayFolder="" count="2" memberValueDatatype="130" unbalanced="0"/>
    <cacheHierarchy uniqueName="[tbl_customers].[last_name]" caption="last_name" attribute="1" defaultMemberUniqueName="[tbl_customers].[last_name].[All]" allUniqueName="[tbl_customers].[last_name].[All]" dimensionUniqueName="[tbl_customers]" displayFolder="" count="2" memberValueDatatype="130" unbalanced="0"/>
    <cacheHierarchy uniqueName="[tbl_customers].[city]" caption="city" attribute="1" defaultMemberUniqueName="[tbl_customers].[city].[All]" allUniqueName="[tbl_customers].[city].[All]" dimensionUniqueName="[tbl_customers]" displayFolder="" count="2"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2"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2"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2"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2" memberValueDatatype="130" unbalanced="0"/>
    <cacheHierarchy uniqueName="[tbl_order_items].[order_item_id]" caption="order_item_id" attribute="1" defaultMemberUniqueName="[tbl_order_items].[order_item_id].[All]" allUniqueName="[tbl_order_items].[order_item_id].[All]" dimensionUniqueName="[tbl_order_items]" displayFolder="" count="2" memberValueDatatype="20" unbalanced="0"/>
    <cacheHierarchy uniqueName="[tbl_order_items].[order_id]" caption="order_id" attribute="1" defaultMemberUniqueName="[tbl_order_items].[order_id].[All]" allUniqueName="[tbl_order_items].[order_id].[All]" dimensionUniqueName="[tbl_order_items]" displayFolder="" count="2" memberValueDatatype="20" unbalanced="0"/>
    <cacheHierarchy uniqueName="[tbl_order_items].[product_id]" caption="product_id" attribute="1" defaultMemberUniqueName="[tbl_order_items].[product_id].[All]" allUniqueName="[tbl_order_items].[product_id].[All]" dimensionUniqueName="[tbl_order_items]" displayFolder="" count="2" memberValueDatatype="20" unbalanced="0"/>
    <cacheHierarchy uniqueName="[tbl_order_items].[quantity]" caption="quantity" attribute="1" defaultMemberUniqueName="[tbl_order_items].[quantity].[All]" allUniqueName="[tbl_order_items].[quantity].[All]" dimensionUniqueName="[tbl_order_items]" displayFolder="" count="2" memberValueDatatype="20" unbalanced="0"/>
    <cacheHierarchy uniqueName="[tbl_order_items].[unit_price]" caption="unit_price" attribute="1" defaultMemberUniqueName="[tbl_order_items].[unit_price].[All]" allUniqueName="[tbl_order_items].[unit_price].[All]" dimensionUniqueName="[tbl_order_items]" displayFolder="" count="2" memberValueDatatype="20" unbalanced="0"/>
    <cacheHierarchy uniqueName="[tbl_orders].[order_id]" caption="order_id" attribute="1" defaultMemberUniqueName="[tbl_orders].[order_id].[All]" allUniqueName="[tbl_orders].[order_id].[All]" dimensionUniqueName="[tbl_orders]" displayFolder="" count="2" memberValueDatatype="20" unbalanced="0"/>
    <cacheHierarchy uniqueName="[tbl_orders].[customer_id]" caption="customer_id" attribute="1" defaultMemberUniqueName="[tbl_orders].[customer_id].[All]" allUniqueName="[tbl_orders].[customer_id].[All]" dimensionUniqueName="[tbl_orders]" displayFolder="" count="2"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2" memberValueDatatype="130" unbalanced="0"/>
    <cacheHierarchy uniqueName="[tbl_orders].[amount]" caption="amount" attribute="1" defaultMemberUniqueName="[tbl_orders].[amount].[All]" allUniqueName="[tbl_orders].[amount].[All]" dimensionUniqueName="[tbl_orders]" displayFolder="" count="2" memberValueDatatype="130" unbalanced="0"/>
    <cacheHierarchy uniqueName="[tbl_payments].[payment_id]" caption="payment_id" attribute="1" defaultMemberUniqueName="[tbl_payments].[payment_id].[All]" allUniqueName="[tbl_payments].[payment_id].[All]" dimensionUniqueName="[tbl_payments]" displayFolder="" count="2" memberValueDatatype="20" unbalanced="0"/>
    <cacheHierarchy uniqueName="[tbl_payments].[order_id]" caption="order_id" attribute="1" defaultMemberUniqueName="[tbl_payments].[order_id].[All]" allUniqueName="[tbl_payments].[order_id].[All]" dimensionUniqueName="[tbl_payments]" displayFolder="" count="2"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2" memberValueDatatype="130" unbalanced="0"/>
    <cacheHierarchy uniqueName="[tbl_payments].[payment_date]" caption="payment_date" attribute="1" time="1" defaultMemberUniqueName="[tbl_payments].[payment_date].[All]" allUniqueName="[tbl_payments].[payment_date].[All]" dimensionUniqueName="[tbl_payments]" displayFolder="" count="2" memberValueDatatype="7" unbalanced="0"/>
    <cacheHierarchy uniqueName="[tbl_products].[product_id]" caption="product_id" attribute="1" defaultMemberUniqueName="[tbl_products].[product_id].[All]" allUniqueName="[tbl_products].[product_id].[All]" dimensionUniqueName="[tbl_products]" displayFolder="" count="2" memberValueDatatype="20" unbalanced="0"/>
    <cacheHierarchy uniqueName="[tbl_products].[product_name]" caption="product_name" attribute="1" defaultMemberUniqueName="[tbl_products].[product_name].[All]" allUniqueName="[tbl_products].[product_name].[All]" dimensionUniqueName="[tbl_products]" displayFolder="" count="2" memberValueDatatype="130" unbalanced="0"/>
    <cacheHierarchy uniqueName="[tbl_products].[category_id]" caption="category_id" attribute="1" defaultMemberUniqueName="[tbl_products].[category_id].[All]" allUniqueName="[tbl_products].[category_id].[All]" dimensionUniqueName="[tbl_products]" displayFolder="" count="2" memberValueDatatype="20" unbalanced="0"/>
    <cacheHierarchy uniqueName="[tbl_products].[price]" caption="price" attribute="1" defaultMemberUniqueName="[tbl_products].[price].[All]" allUniqueName="[tbl_products].[price].[All]" dimensionUniqueName="[tbl_products]" displayFolder="" count="2"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2" memberValueDatatype="20" unbalanced="0" hidden="1"/>
    <cacheHierarchy uniqueName="[Measures].[Sum of quantity]" caption="Sum of quantity" measure="1" displayFolder="" measureGroup="tbl_order_items" count="0">
      <extLst>
        <ext xmlns:x15="http://schemas.microsoft.com/office/spreadsheetml/2010/11/main" uri="{B97F6D7D-B522-45F9-BDA1-12C45D357490}">
          <x15:cacheHierarchy aggregatedColumn="12"/>
        </ext>
      </extLst>
    </cacheHierarchy>
    <cacheHierarchy uniqueName="[Measures].[Sum of unit_price]" caption="Sum of unit_price" measure="1" displayFolder="" measureGroup="tbl_order_items" count="0">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tbl_customers" count="0">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bl_orders" count="0">
      <extLst>
        <ext xmlns:x15="http://schemas.microsoft.com/office/spreadsheetml/2010/11/main" uri="{B97F6D7D-B522-45F9-BDA1-12C45D357490}">
          <x15:cacheHierarchy aggregatedColumn="15"/>
        </ext>
      </extLst>
    </cacheHierarchy>
    <cacheHierarchy uniqueName="[Measures].[Sum of product_id]" caption="Sum of product_id" measure="1" displayFolder="" measureGroup="tbl_products" count="0">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tbl_products" count="0">
      <extLst>
        <ext xmlns:x15="http://schemas.microsoft.com/office/spreadsheetml/2010/11/main" uri="{B97F6D7D-B522-45F9-BDA1-12C45D357490}">
          <x15:cacheHierarchy aggregatedColumn="25"/>
        </ext>
      </extLst>
    </cacheHierarchy>
    <cacheHierarchy uniqueName="[Measures].[Sum of order_id]" caption="Sum of order_id" measure="1" displayFolder="" measureGroup="tbl_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tbl_orders" count="0">
      <extLst>
        <ext xmlns:x15="http://schemas.microsoft.com/office/spreadsheetml/2010/11/main" uri="{B97F6D7D-B522-45F9-BDA1-12C45D357490}">
          <x15:cacheHierarchy aggregatedColumn="14"/>
        </ext>
      </extLst>
    </cacheHierarchy>
    <cacheHierarchy uniqueName="[Measures].[Sum of payment_id]" caption="Sum of payment_id" measure="1" displayFolder="" measureGroup="tbl_payment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tbl_order_items" count="0"/>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Average Order]" caption="Average Order" measure="1" displayFolder="" measureGroup="tbl_order_item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pivotCacheId="17845223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3DFA8D-66C4-44C3-A30B-99E534165AF5}" name="PivotTable13" cacheId="1674" applyNumberFormats="0" applyBorderFormats="0" applyFontFormats="0" applyPatternFormats="0" applyAlignmentFormats="0" applyWidthHeightFormats="1" dataCaption="Values" tag="ab6d1d99-2c05-4c37-8256-6372dc838caa" updatedVersion="8" minRefreshableVersion="5" useAutoFormatting="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1">
    <format dxfId="42">
      <pivotArea outline="0" collapsedLevelsAreSubtotals="1" fieldPosition="0"/>
    </format>
    <format dxfId="35">
      <pivotArea type="all" dataOnly="0" outline="0" fieldPosition="0"/>
    </format>
    <format dxfId="34">
      <pivotArea outline="0" collapsedLevelsAreSubtotals="1" fieldPosition="0"/>
    </format>
    <format dxfId="29">
      <pivotArea type="all" dataOnly="0" outline="0" fieldPosition="0"/>
    </format>
    <format dxfId="28">
      <pivotArea outline="0" collapsedLevelsAreSubtotals="1" fieldPosition="0"/>
    </format>
    <format dxfId="23">
      <pivotArea type="all" dataOnly="0" outline="0" fieldPosition="0"/>
    </format>
    <format dxfId="22">
      <pivotArea outline="0" collapsedLevelsAreSubtotals="1" fieldPosition="0"/>
    </format>
    <format dxfId="9">
      <pivotArea outline="0" collapsedLevelsAreSubtotals="1" fieldPosition="0"/>
    </format>
    <format dxfId="8">
      <pivotArea outline="0" fieldPosition="0">
        <references count="1">
          <reference field="4294967294" count="1">
            <x v="0"/>
          </reference>
        </references>
      </pivotArea>
    </format>
    <format dxfId="6">
      <pivotArea dataOnly="0" labelOnly="1" outline="0" axis="axisValues" fieldPosition="0"/>
    </format>
    <format dxfId="3">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BFF3DF-08FF-4FE8-82BC-47DE9A7DEFA3}" name="PivotTable12" cacheId="1671" applyNumberFormats="0" applyBorderFormats="0" applyFontFormats="0" applyPatternFormats="0" applyAlignmentFormats="0" applyWidthHeightFormats="1" dataCaption="Values" tag="d370c659-5bb5-411c-8eec-d64a4781e741" updatedVersion="8" minRefreshableVersion="5" useAutoFormatting="1" subtotalHiddenItems="1" itemPrintTitles="1" createdVersion="5"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0">
    <format dxfId="10">
      <pivotArea outline="0" collapsedLevelsAreSubtotals="1" fieldPosition="0"/>
    </format>
    <format dxfId="11">
      <pivotArea outline="0" collapsedLevelsAreSubtotals="1" fieldPosition="0"/>
    </format>
    <format dxfId="12">
      <pivotArea type="all" dataOnly="0" outline="0" fieldPosition="0"/>
    </format>
    <format dxfId="13">
      <pivotArea outline="0" collapsedLevelsAreSubtotals="1" fieldPosition="0"/>
    </format>
    <format dxfId="14">
      <pivotArea type="all" dataOnly="0" outline="0" fieldPosition="0"/>
    </format>
    <format dxfId="15">
      <pivotArea outline="0" collapsedLevelsAreSubtotals="1" fieldPosition="0"/>
    </format>
    <format dxfId="16">
      <pivotArea type="all" dataOnly="0" outline="0" fieldPosition="0"/>
    </format>
    <format dxfId="17">
      <pivotArea outline="0" collapsedLevelsAreSubtotals="1" fieldPosition="0"/>
    </format>
    <format dxfId="7">
      <pivotArea dataOnly="0" labelOnly="1" outline="0" axis="axisValues" fieldPosition="0"/>
    </format>
    <format dxfId="2">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2B9F56-AEBB-4FAD-976C-C5EAA906B4B3}" name="PivotTable11" cacheId="1668" applyNumberFormats="0" applyBorderFormats="0" applyFontFormats="0" applyPatternFormats="0" applyAlignmentFormats="0" applyWidthHeightFormats="1" dataCaption="Values" tag="47bfc1d5-f596-4664-ba79-3b4fec2ade64" updatedVersion="8" minRefreshableVersion="5" useAutoFormatting="1" itemPrintTitles="1" createdVersion="5"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1">
    <format dxfId="41">
      <pivotArea outline="0" collapsedLevelsAreSubtotals="1" fieldPosition="0"/>
    </format>
    <format dxfId="39">
      <pivotArea outline="0" collapsedLevelsAreSubtotals="1" fieldPosition="0"/>
    </format>
    <format dxfId="38">
      <pivotArea outline="0" collapsedLevelsAreSubtotals="1" fieldPosition="0"/>
    </format>
    <format dxfId="33">
      <pivotArea type="all" dataOnly="0" outline="0" fieldPosition="0"/>
    </format>
    <format dxfId="32">
      <pivotArea outline="0" collapsedLevelsAreSubtotals="1" fieldPosition="0"/>
    </format>
    <format dxfId="27">
      <pivotArea type="all" dataOnly="0" outline="0" fieldPosition="0"/>
    </format>
    <format dxfId="26">
      <pivotArea outline="0" collapsedLevelsAreSubtotals="1" fieldPosition="0"/>
    </format>
    <format dxfId="21">
      <pivotArea type="all" dataOnly="0" outline="0" fieldPosition="0"/>
    </format>
    <format dxfId="20">
      <pivotArea outline="0" collapsedLevelsAreSubtotals="1" fieldPosition="0"/>
    </format>
    <format dxfId="5">
      <pivotArea dataOnly="0" labelOnly="1" outline="0" axis="axisValues" fieldPosition="0"/>
    </format>
    <format dxfId="1">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5A2B3A-4FB0-4EEB-A56C-5834A18AB040}" name="PivotTable10" cacheId="1665" applyNumberFormats="0" applyBorderFormats="0" applyFontFormats="0" applyPatternFormats="0" applyAlignmentFormats="0" applyWidthHeightFormats="1" dataCaption="Values" tag="eb06e5b6-4320-462f-b780-3aa38b6bcaf5" updatedVersion="8" minRefreshableVersion="5" useAutoFormatting="1" itemPrintTitles="1" createdVersion="5"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1">
    <format dxfId="40">
      <pivotArea outline="0" collapsedLevelsAreSubtotals="1" fieldPosition="0"/>
    </format>
    <format dxfId="37">
      <pivotArea outline="0" collapsedLevelsAreSubtotals="1" fieldPosition="0"/>
    </format>
    <format dxfId="36">
      <pivotArea outline="0" collapsedLevelsAreSubtotals="1" fieldPosition="0"/>
    </format>
    <format dxfId="31">
      <pivotArea type="all" dataOnly="0" outline="0" fieldPosition="0"/>
    </format>
    <format dxfId="30">
      <pivotArea outline="0" collapsedLevelsAreSubtotals="1" fieldPosition="0"/>
    </format>
    <format dxfId="25">
      <pivotArea type="all" dataOnly="0" outline="0" fieldPosition="0"/>
    </format>
    <format dxfId="24">
      <pivotArea outline="0" collapsedLevelsAreSubtotals="1" fieldPosition="0"/>
    </format>
    <format dxfId="19">
      <pivotArea type="all" dataOnly="0" outline="0" fieldPosition="0"/>
    </format>
    <format dxfId="18">
      <pivotArea outline="0" collapsedLevelsAreSubtotals="1" fieldPosition="0"/>
    </format>
    <format dxfId="4">
      <pivotArea dataOnly="0" labelOnly="1" outline="0" axis="axisValues" fieldPosition="0"/>
    </format>
    <format dxfId="0">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349AB7-9F51-43C7-9977-6ADEE7098D30}" name="PivotTable15" cacheId="1650" applyNumberFormats="0" applyBorderFormats="0" applyFontFormats="0" applyPatternFormats="0" applyAlignmentFormats="0" applyWidthHeightFormats="1" dataCaption="Values" tag="10c55b42-69c2-4efe-8a4c-e3ff5f853f83" updatedVersion="8" minRefreshableVersion="5" useAutoFormatting="1" itemPrintTitles="1" createdVersion="5" indent="0" outline="1" outlineData="1" multipleFieldFilters="0" chartFormat="7">
  <location ref="M20:N27"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D4F295-5829-4E6C-BAC8-99BF4A221D99}" name="PivotTable14" cacheId="1647" applyNumberFormats="0" applyBorderFormats="0" applyFontFormats="0" applyPatternFormats="0" applyAlignmentFormats="0" applyWidthHeightFormats="1" dataCaption="Values" tag="8f22e7a4-42e9-4544-8727-cd6207a6a37c" updatedVersion="8" minRefreshableVersion="5" useAutoFormatting="1" itemPrintTitles="1" createdVersion="5" indent="0" outline="1" outlineData="1" multipleFieldFilters="0" chartFormat="15">
  <location ref="B19:C29"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roduct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9BADEE-2270-4122-B2B0-84C984AE50E0}" name="PivotTable5" cacheId="1662" applyNumberFormats="0" applyBorderFormats="0" applyFontFormats="0" applyPatternFormats="0" applyAlignmentFormats="0" applyWidthHeightFormats="1" dataCaption="Values" tag="f545d611-34d7-41d3-a675-d929907fce2f" updatedVersion="8" minRefreshableVersion="5" useAutoFormatting="1" itemPrintTitles="1" createdVersion="5" indent="0" outline="1" outlineData="1" multipleFieldFilters="0">
  <location ref="H14:H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DCE700-028E-4ADB-A6B3-51AB3DD14D38}" name="PivotTable4" cacheId="1659" applyNumberFormats="0" applyBorderFormats="0" applyFontFormats="0" applyPatternFormats="0" applyAlignmentFormats="0" applyWidthHeightFormats="1" dataCaption="Values" tag="b942b144-ee41-4c21-8f38-c795a9e3230b" updatedVersion="8" minRefreshableVersion="5" useAutoFormatting="1" itemPrintTitles="1" createdVersion="5" indent="0" outline="1" outlineData="1" multipleFieldFilters="0">
  <location ref="F14:F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73B359-6246-4D2B-B6E4-499EB84DF1A2}" name="PivotTable3" cacheId="1656" applyNumberFormats="0" applyBorderFormats="0" applyFontFormats="0" applyPatternFormats="0" applyAlignmentFormats="0" applyWidthHeightFormats="1" dataCaption="Values" tag="4230abd3-85fd-4105-b3fc-b954feb0e2fb" updatedVersion="8" minRefreshableVersion="5" useAutoFormatting="1" itemPrintTitles="1" createdVersion="5" indent="0" outline="1" outlineData="1" multipleFieldFilters="0">
  <location ref="D14:D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4A37E1-8EC4-4D9A-B7AD-26C92BA25C14}" name="PivotTable2" cacheId="1653" applyNumberFormats="0" applyBorderFormats="0" applyFontFormats="0" applyPatternFormats="0" applyAlignmentFormats="0" applyWidthHeightFormats="1" dataCaption="Values" tag="bd84cd27-1ebb-4e6c-9e96-7a4132a7c6ce" updatedVersion="8" minRefreshableVersion="5" useAutoFormatting="1" itemPrintTitles="1" createdVersion="5" indent="0" outline="1" outlineData="1" multipleFieldFilters="0">
  <location ref="B14:B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ECF1B9-DCCA-4666-B5DC-CF1328FF48D4}" name="PivotTable1" cacheId="1644" applyNumberFormats="0" applyBorderFormats="0" applyFontFormats="0" applyPatternFormats="0" applyAlignmentFormats="0" applyWidthHeightFormats="1" dataCaption="Values" tag="a27a639e-a1ff-4621-ab3f-d235607e96a2" updatedVersion="8" minRefreshableVersion="5" useAutoFormatting="1" itemPrintTitles="1" createdVersion="5" indent="0" outline="1" outlineData="1" multipleFieldFilters="0" chartFormat="8">
  <location ref="B3:C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roduct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1" xr10:uid="{D282E6C7-DF86-4D16-A08D-9E8D24C8F6CC}" sourceName="[tbl_products].[category_name]">
  <pivotTables>
    <pivotTable tabId="9" name="PivotTable1"/>
    <pivotTable tabId="9" name="PivotTable14"/>
    <pivotTable tabId="9" name="PivotTable15"/>
    <pivotTable tabId="9" name="PivotTable2"/>
    <pivotTable tabId="9" name="PivotTable3"/>
    <pivotTable tabId="9" name="PivotTable4"/>
    <pivotTable tabId="9" name="PivotTable5"/>
    <pivotTable tabId="11" name="PivotTable10"/>
    <pivotTable tabId="11" name="PivotTable11"/>
    <pivotTable tabId="11" name="PivotTable12"/>
    <pivotTable tabId="11" name="PivotTable13"/>
  </pivotTables>
  <data>
    <olap pivotCacheId="1606707480">
      <levels count="2">
        <level uniqueName="[tbl_products].[category_name].[(All)]" sourceCaption="(All)" count="0"/>
        <level uniqueName="[tbl_products].[category_name].[category_name]" sourceCaption="category_name" count="5">
          <ranges>
            <range startItem="0">
              <i n="[tbl_products].[category_name].&amp;[Accessories]" c="Accessories"/>
              <i n="[tbl_products].[category_name].&amp;[Gaming]" c="Gaming"/>
              <i n="[tbl_products].[category_name].&amp;[Laptops]" c="Laptops"/>
              <i n="[tbl_products].[category_name].&amp;[Monitors]" c="Monitors"/>
              <i n="[tbl_products].[category_name].&amp;[Smartphones]" c="Smartphones"/>
            </range>
          </ranges>
        </level>
      </levels>
      <selections count="1">
        <selection n="[tbl_products].[category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A776EF60-2B86-44B0-8E4A-BCA945BFA3DC}" sourceName="[tbl_payments].[payment_method]">
  <pivotTables>
    <pivotTable tabId="9" name="PivotTable1"/>
    <pivotTable tabId="9" name="PivotTable14"/>
    <pivotTable tabId="9" name="PivotTable15"/>
    <pivotTable tabId="9" name="PivotTable2"/>
    <pivotTable tabId="9" name="PivotTable3"/>
    <pivotTable tabId="9" name="PivotTable4"/>
    <pivotTable tabId="9" name="PivotTable5"/>
    <pivotTable tabId="11" name="PivotTable10"/>
    <pivotTable tabId="11" name="PivotTable11"/>
    <pivotTable tabId="11" name="PivotTable12"/>
    <pivotTable tabId="11" name="PivotTable13"/>
  </pivotTables>
  <data>
    <olap pivotCacheId="1606707480">
      <levels count="2">
        <level uniqueName="[tbl_payments].[payment_method].[(All)]" sourceCaption="(All)" count="0"/>
        <level uniqueName="[tbl_payments].[payment_method].[payment_method]" sourceCaption="payment_method" count="3">
          <ranges>
            <range startItem="0">
              <i n="[tbl_payments].[payment_method].&amp;[Card]" c="Card"/>
              <i n="[tbl_payments].[payment_method].&amp;[Cash]" c="Cash"/>
              <i n="[tbl_payments].[payment_method].&amp;[Transfer]" c="Transfer"/>
            </range>
          </ranges>
        </level>
      </levels>
      <selections count="1">
        <selection n="[tbl_payments].[payment_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1" xr10:uid="{FA8FE80F-E689-4B8A-993F-B69590972F4F}" cache="Slicer_category_name1" caption="category_name" level="1" rowHeight="257175"/>
  <slicer name="payment_method 1" xr10:uid="{E6D20552-9973-4CB5-82FB-41C86D433CBF}" cache="Slicer_payment_method1" caption="payment_method"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48C97D-285D-4E22-B236-FD93737CE069}" name="tbl_orders" displayName="tbl_orders" ref="A1:E9" totalsRowShown="0" headerRowDxfId="69" tableBorderDxfId="68">
  <autoFilter ref="A1:E9" xr:uid="{D648C97D-285D-4E22-B236-FD93737CE069}"/>
  <tableColumns count="5">
    <tableColumn id="1" xr3:uid="{9B66FCB2-0AB2-4117-B2E3-B97A553D8B6A}" name="order_id" dataDxfId="67"/>
    <tableColumn id="2" xr3:uid="{C2918280-87CC-4C4E-8688-C0564F3881EC}" name="customer_id" dataDxfId="66"/>
    <tableColumn id="3" xr3:uid="{C3BD7344-8816-45B1-92B7-B6E423DAB10A}" name="order_date" dataDxfId="65"/>
    <tableColumn id="4" xr3:uid="{1C859FE5-D8F2-4487-8DCD-656F2E05AD84}" name="status" dataDxfId="64"/>
    <tableColumn id="5" xr3:uid="{9A26F45D-03A6-4FF1-913C-30E45F759BD0}" name="amount" dataDxfId="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92C4FA-4552-4425-A77F-896AC7CF8A55}" name="tbl_products" displayName="tbl_products" ref="A1:E11" totalsRowShown="0" headerRowDxfId="62" headerRowBorderDxfId="61" tableBorderDxfId="60" totalsRowBorderDxfId="59">
  <autoFilter ref="A1:E11" xr:uid="{3692C4FA-4552-4425-A77F-896AC7CF8A55}"/>
  <tableColumns count="5">
    <tableColumn id="1" xr3:uid="{E4437895-982C-4498-826C-7C5B3368175E}" name="product_id" dataDxfId="58"/>
    <tableColumn id="2" xr3:uid="{537E4777-82B3-4058-9F16-F97E1F47907F}" name="product_name" dataDxfId="57"/>
    <tableColumn id="3" xr3:uid="{FD9F81E5-A26A-4B2B-87C7-DBDA0C588AF3}" name="category_id" dataDxfId="56"/>
    <tableColumn id="4" xr3:uid="{C0785B46-606B-4C38-80AD-86B8A1EBEB08}" name="price" dataDxfId="55"/>
    <tableColumn id="5" xr3:uid="{8DCCD0C3-6C9C-4EBD-BEC9-1AA43DFFD404}" name="category_name" dataDxfId="54">
      <calculatedColumnFormula>_xlfn.XLOOKUP(C2,[1]categories!A:A, [1]categories!B:B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A52AB4-0C10-4AE8-BC95-E019F9BF6897}" name="tbl_payments" displayName="tbl_payments" ref="A1:E9" totalsRowShown="0">
  <autoFilter ref="A1:E9" xr:uid="{48A52AB4-0C10-4AE8-BC95-E019F9BF6897}"/>
  <tableColumns count="5">
    <tableColumn id="1" xr3:uid="{BD34A596-EEB3-45A2-AA31-E89120137ACC}" name="payment_id"/>
    <tableColumn id="2" xr3:uid="{4B24AABC-0A9E-43AE-851C-AD7F8276E997}" name="order_id"/>
    <tableColumn id="3" xr3:uid="{4AC637ED-32A1-42C1-85FC-E57724A6C0B3}" name="payment_method"/>
    <tableColumn id="4" xr3:uid="{5AAE4130-D862-4293-A8D7-078474268A2C}" name="payment_status"/>
    <tableColumn id="5" xr3:uid="{7E42C725-0DA3-4877-9D95-D41E71DBD8A4}" name="payment_date" dataDxfId="5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8774C6-ACDA-4699-8D42-507BA0E60092}" name="tbl_order_items" displayName="tbl_order_items" ref="A1:E10" totalsRowShown="0" headerRowDxfId="52" dataDxfId="50" headerRowBorderDxfId="51" tableBorderDxfId="49" totalsRowBorderDxfId="48">
  <autoFilter ref="A1:E10" xr:uid="{A38774C6-ACDA-4699-8D42-507BA0E60092}"/>
  <tableColumns count="5">
    <tableColumn id="1" xr3:uid="{BBB0DB5B-5F32-4E21-925F-7F1908A67688}" name="order_item_id" dataDxfId="47"/>
    <tableColumn id="2" xr3:uid="{B622EC25-FF23-47E2-AA4A-2B96B700703C}" name="order_id" dataDxfId="46"/>
    <tableColumn id="3" xr3:uid="{DABE83D8-32B5-42E8-89FB-962B2255FE22}" name="product_id" dataDxfId="45"/>
    <tableColumn id="4" xr3:uid="{76AFC147-3B58-46D4-8C33-0A621B59E873}" name="quantity" dataDxfId="44"/>
    <tableColumn id="5" xr3:uid="{3D4C0CC8-9187-476C-8567-01B3B5B5FFB1}" name="unit_pri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306920-D4FC-452D-A4F1-CFBF727129CB}" name="tbl_customers" displayName="tbl_customers" ref="A1:E40" totalsRowShown="0">
  <autoFilter ref="A1:E40" xr:uid="{78306920-D4FC-452D-A4F1-CFBF727129CB}"/>
  <sortState xmlns:xlrd2="http://schemas.microsoft.com/office/spreadsheetml/2017/richdata2" ref="A2:E40">
    <sortCondition descending="1" ref="E1:E40"/>
  </sortState>
  <tableColumns count="5">
    <tableColumn id="1" xr3:uid="{DFC558EE-0028-4115-BD61-D790CBF923A2}" name="customer_id"/>
    <tableColumn id="2" xr3:uid="{7E342FFF-286D-446B-B14B-7D6A963349B0}" name="first_name"/>
    <tableColumn id="3" xr3:uid="{42CF1194-0BD6-49F7-B7D9-83AD317B5026}" name="last_name"/>
    <tableColumn id="4" xr3:uid="{3D9FB82A-5D7E-49F5-BFFB-5256ACDAE203}" name="city"/>
    <tableColumn id="5" xr3:uid="{BD27D049-E7A1-413F-B534-88DB7F141E18}" name="registration_date" dataDxfId="4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1199A97-4D3B-4B01-BEC2-F9F9DAC8306B}" sourceName="[tbl_orders].[order_date]">
  <pivotTables>
    <pivotTable tabId="9" name="PivotTable1"/>
    <pivotTable tabId="9" name="PivotTable14"/>
    <pivotTable tabId="9" name="PivotTable15"/>
    <pivotTable tabId="9" name="PivotTable2"/>
    <pivotTable tabId="9" name="PivotTable3"/>
    <pivotTable tabId="9" name="PivotTable4"/>
    <pivotTable tabId="9" name="PivotTable5"/>
    <pivotTable tabId="11" name="PivotTable10"/>
    <pivotTable tabId="11" name="PivotTable11"/>
    <pivotTable tabId="11" name="PivotTable12"/>
    <pivotTable tabId="11" name="PivotTable13"/>
  </pivotTables>
  <state minimalRefreshVersion="6" lastRefreshVersion="6" pivotCacheId="1784522352"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6F8FFD7-52C9-4839-B56F-EFCECAC52907}" cache="Timeline_order_date" caption="order_date" level="2" selectionLevel="2" scrollPosition="2024-01-0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DFA3A-916B-44B7-9B9C-63E53C31A2B8}">
  <dimension ref="A4:E5"/>
  <sheetViews>
    <sheetView showGridLines="0" showRowColHeaders="0" tabSelected="1" zoomScaleNormal="100" workbookViewId="0">
      <selection activeCell="M19" sqref="M19"/>
    </sheetView>
  </sheetViews>
  <sheetFormatPr defaultRowHeight="15" x14ac:dyDescent="0.25"/>
  <cols>
    <col min="1" max="1" width="19.140625" bestFit="1" customWidth="1"/>
    <col min="2" max="2" width="22.28515625" bestFit="1" customWidth="1"/>
    <col min="3" max="3" width="16.7109375" bestFit="1" customWidth="1"/>
    <col min="4" max="4" width="19.28515625" bestFit="1" customWidth="1"/>
  </cols>
  <sheetData>
    <row r="4" spans="1:5" ht="21" x14ac:dyDescent="0.35">
      <c r="A4" s="22" t="s">
        <v>130</v>
      </c>
      <c r="B4" s="22" t="s">
        <v>132</v>
      </c>
      <c r="C4" s="22" t="s">
        <v>131</v>
      </c>
      <c r="D4" s="22" t="s">
        <v>133</v>
      </c>
      <c r="E4" s="19"/>
    </row>
    <row r="5" spans="1:5" ht="31.5" x14ac:dyDescent="0.5">
      <c r="A5" s="21">
        <v>6109</v>
      </c>
      <c r="B5" s="24">
        <v>6</v>
      </c>
      <c r="C5" s="24">
        <v>9</v>
      </c>
      <c r="D5" s="23">
        <v>678.77777777777783</v>
      </c>
      <c r="E5" s="20"/>
    </row>
  </sheetData>
  <pageMargins left="0.7" right="0.7" top="0.75" bottom="0.75" header="0.3" footer="0.3"/>
  <pageSetup paperSize="9" scale="62" orientation="portrait" r:id="rId5"/>
  <headerFooter>
    <oddHeader>&amp;C&amp;"-,Bold"&amp;28SALES PERFOMANCE DASHBOARD</oddHeader>
  </headerFooter>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94A89-8F51-4C63-9F62-79803AC68153}">
  <dimension ref="A1:E9"/>
  <sheetViews>
    <sheetView workbookViewId="0">
      <selection activeCell="G15" sqref="G15"/>
    </sheetView>
  </sheetViews>
  <sheetFormatPr defaultRowHeight="15" x14ac:dyDescent="0.25"/>
  <cols>
    <col min="3" max="3" width="10.140625" bestFit="1" customWidth="1"/>
  </cols>
  <sheetData>
    <row r="1" spans="1:5" x14ac:dyDescent="0.25">
      <c r="A1" s="1" t="s">
        <v>0</v>
      </c>
      <c r="B1" s="1" t="s">
        <v>1</v>
      </c>
      <c r="C1" s="1" t="s">
        <v>2</v>
      </c>
      <c r="D1" s="1" t="s">
        <v>3</v>
      </c>
      <c r="E1" s="1" t="s">
        <v>4</v>
      </c>
    </row>
    <row r="2" spans="1:5" x14ac:dyDescent="0.25">
      <c r="A2" s="2">
        <v>6</v>
      </c>
      <c r="B2" s="2">
        <v>1</v>
      </c>
      <c r="C2" s="3">
        <v>45379</v>
      </c>
      <c r="D2" s="2" t="s">
        <v>5</v>
      </c>
      <c r="E2" s="2">
        <v>0</v>
      </c>
    </row>
    <row r="3" spans="1:5" x14ac:dyDescent="0.25">
      <c r="A3" s="4">
        <v>7</v>
      </c>
      <c r="B3" s="4">
        <v>2</v>
      </c>
      <c r="C3" s="5">
        <v>45392</v>
      </c>
      <c r="D3" s="4" t="s">
        <v>6</v>
      </c>
      <c r="E3" s="4">
        <v>0</v>
      </c>
    </row>
    <row r="4" spans="1:5" x14ac:dyDescent="0.25">
      <c r="A4" s="2">
        <v>8</v>
      </c>
      <c r="B4" s="2">
        <v>6</v>
      </c>
      <c r="C4" s="3">
        <v>45411</v>
      </c>
      <c r="D4" s="2" t="s">
        <v>5</v>
      </c>
      <c r="E4" s="2">
        <v>0</v>
      </c>
    </row>
    <row r="5" spans="1:5" x14ac:dyDescent="0.25">
      <c r="A5" s="4">
        <v>1</v>
      </c>
      <c r="B5" s="4">
        <v>1</v>
      </c>
      <c r="C5" s="5">
        <v>45296</v>
      </c>
      <c r="D5" s="4" t="s">
        <v>5</v>
      </c>
      <c r="E5" s="4" t="s">
        <v>7</v>
      </c>
    </row>
    <row r="6" spans="1:5" x14ac:dyDescent="0.25">
      <c r="A6" s="2">
        <v>2</v>
      </c>
      <c r="B6" s="2">
        <v>2</v>
      </c>
      <c r="C6" s="3">
        <v>45308</v>
      </c>
      <c r="D6" s="2" t="s">
        <v>5</v>
      </c>
      <c r="E6" s="2" t="s">
        <v>8</v>
      </c>
    </row>
    <row r="7" spans="1:5" x14ac:dyDescent="0.25">
      <c r="A7" s="4">
        <v>3</v>
      </c>
      <c r="B7" s="4">
        <v>3</v>
      </c>
      <c r="C7" s="5">
        <v>45325</v>
      </c>
      <c r="D7" s="4" t="s">
        <v>5</v>
      </c>
      <c r="E7" s="4" t="s">
        <v>9</v>
      </c>
    </row>
    <row r="8" spans="1:5" x14ac:dyDescent="0.25">
      <c r="A8" s="2">
        <v>4</v>
      </c>
      <c r="B8" s="2">
        <v>4</v>
      </c>
      <c r="C8" s="3">
        <v>45347</v>
      </c>
      <c r="D8" s="2" t="s">
        <v>10</v>
      </c>
      <c r="E8" s="2" t="s">
        <v>11</v>
      </c>
    </row>
    <row r="9" spans="1:5" x14ac:dyDescent="0.25">
      <c r="A9" s="4">
        <v>5</v>
      </c>
      <c r="B9" s="4">
        <v>5</v>
      </c>
      <c r="C9" s="5">
        <v>45363</v>
      </c>
      <c r="D9" s="4" t="s">
        <v>5</v>
      </c>
      <c r="E9" s="4" t="s">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8C5F3-A9F4-4B35-81A0-EC0A347C693C}">
  <dimension ref="A1:E11"/>
  <sheetViews>
    <sheetView workbookViewId="0">
      <selection activeCell="H11" sqref="H11"/>
    </sheetView>
  </sheetViews>
  <sheetFormatPr defaultRowHeight="15" x14ac:dyDescent="0.25"/>
  <cols>
    <col min="1" max="1" width="12.7109375" customWidth="1"/>
    <col min="2" max="2" width="17.140625" customWidth="1"/>
    <col min="3" max="3" width="15.140625" customWidth="1"/>
    <col min="4" max="4" width="11.7109375" customWidth="1"/>
    <col min="5" max="5" width="16.7109375" customWidth="1"/>
  </cols>
  <sheetData>
    <row r="1" spans="1:5" x14ac:dyDescent="0.25">
      <c r="A1" s="10" t="s">
        <v>89</v>
      </c>
      <c r="B1" s="10" t="s">
        <v>90</v>
      </c>
      <c r="C1" s="10" t="s">
        <v>91</v>
      </c>
      <c r="D1" s="11" t="s">
        <v>92</v>
      </c>
      <c r="E1" s="10" t="s">
        <v>93</v>
      </c>
    </row>
    <row r="2" spans="1:5" x14ac:dyDescent="0.25">
      <c r="A2" s="6">
        <v>1</v>
      </c>
      <c r="B2" s="6" t="s">
        <v>83</v>
      </c>
      <c r="C2" s="6">
        <v>1</v>
      </c>
      <c r="D2" s="8" t="s">
        <v>106</v>
      </c>
      <c r="E2" s="6" t="str">
        <f>_xlfn.XLOOKUP(C2,[1]categories!A:A, [1]categories!B:B )</f>
        <v>Laptops</v>
      </c>
    </row>
    <row r="3" spans="1:5" x14ac:dyDescent="0.25">
      <c r="A3" s="7">
        <v>2</v>
      </c>
      <c r="B3" s="7" t="s">
        <v>84</v>
      </c>
      <c r="C3" s="7">
        <v>1</v>
      </c>
      <c r="D3" s="9" t="s">
        <v>107</v>
      </c>
      <c r="E3" s="7" t="str">
        <f>_xlfn.XLOOKUP(C3,[1]categories!A:A, [1]categories!B:B )</f>
        <v>Laptops</v>
      </c>
    </row>
    <row r="4" spans="1:5" x14ac:dyDescent="0.25">
      <c r="A4" s="6">
        <v>3</v>
      </c>
      <c r="B4" s="6" t="s">
        <v>85</v>
      </c>
      <c r="C4" s="6">
        <v>2</v>
      </c>
      <c r="D4" s="8" t="s">
        <v>108</v>
      </c>
      <c r="E4" s="6" t="str">
        <f>_xlfn.XLOOKUP(C4,[1]categories!A:A, [1]categories!B:B )</f>
        <v>Smartphones</v>
      </c>
    </row>
    <row r="5" spans="1:5" x14ac:dyDescent="0.25">
      <c r="A5" s="7">
        <v>4</v>
      </c>
      <c r="B5" s="7" t="s">
        <v>86</v>
      </c>
      <c r="C5" s="7">
        <v>2</v>
      </c>
      <c r="D5" s="9" t="s">
        <v>109</v>
      </c>
      <c r="E5" s="7" t="str">
        <f>_xlfn.XLOOKUP(C5,[1]categories!A:A, [1]categories!B:B )</f>
        <v>Smartphones</v>
      </c>
    </row>
    <row r="6" spans="1:5" x14ac:dyDescent="0.25">
      <c r="A6" s="6">
        <v>5</v>
      </c>
      <c r="B6" s="6" t="s">
        <v>110</v>
      </c>
      <c r="C6" s="6">
        <v>3</v>
      </c>
      <c r="D6" s="8" t="s">
        <v>111</v>
      </c>
      <c r="E6" s="6" t="str">
        <f>_xlfn.XLOOKUP(C6,[1]categories!A:A, [1]categories!B:B )</f>
        <v>Accessories</v>
      </c>
    </row>
    <row r="7" spans="1:5" x14ac:dyDescent="0.25">
      <c r="A7" s="4">
        <v>6</v>
      </c>
      <c r="B7" s="4" t="s">
        <v>112</v>
      </c>
      <c r="C7" s="4">
        <v>3</v>
      </c>
      <c r="D7" s="12" t="s">
        <v>113</v>
      </c>
      <c r="E7" s="4" t="str">
        <f>_xlfn.XLOOKUP(C7,[1]categories!A:A, [1]categories!B:B )</f>
        <v>Accessories</v>
      </c>
    </row>
    <row r="8" spans="1:5" x14ac:dyDescent="0.25">
      <c r="A8" s="7">
        <v>7</v>
      </c>
      <c r="B8" s="7" t="s">
        <v>114</v>
      </c>
      <c r="C8" s="7">
        <v>4</v>
      </c>
      <c r="D8" s="9" t="s">
        <v>115</v>
      </c>
      <c r="E8" s="7" t="str">
        <f>_xlfn.XLOOKUP(C8,[1]categories!A:A, [1]categories!B:B )</f>
        <v>Monitors</v>
      </c>
    </row>
    <row r="9" spans="1:5" x14ac:dyDescent="0.25">
      <c r="A9" s="7">
        <v>8</v>
      </c>
      <c r="B9" s="7" t="s">
        <v>116</v>
      </c>
      <c r="C9" s="7">
        <v>4</v>
      </c>
      <c r="D9" s="9" t="s">
        <v>117</v>
      </c>
      <c r="E9" s="7" t="str">
        <f>_xlfn.XLOOKUP(C9,[1]categories!A:A, [1]categories!B:B )</f>
        <v>Monitors</v>
      </c>
    </row>
    <row r="10" spans="1:5" x14ac:dyDescent="0.25">
      <c r="A10" s="7">
        <v>9</v>
      </c>
      <c r="B10" s="7" t="s">
        <v>87</v>
      </c>
      <c r="C10" s="7">
        <v>5</v>
      </c>
      <c r="D10" s="9" t="s">
        <v>118</v>
      </c>
      <c r="E10" s="7" t="str">
        <f>_xlfn.XLOOKUP(C10,[1]categories!A:A, [1]categories!B:B )</f>
        <v>Gaming</v>
      </c>
    </row>
    <row r="11" spans="1:5" x14ac:dyDescent="0.25">
      <c r="A11" s="4">
        <v>10</v>
      </c>
      <c r="B11" s="4" t="s">
        <v>88</v>
      </c>
      <c r="C11" s="4">
        <v>5</v>
      </c>
      <c r="D11" s="12" t="s">
        <v>119</v>
      </c>
      <c r="E11" s="4" t="str">
        <f>_xlfn.XLOOKUP(C11,[1]categories!A:A, [1]categories!B:B )</f>
        <v>Gaming</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95A2-4B36-44A5-8040-80C80661D370}">
  <dimension ref="A1:E9"/>
  <sheetViews>
    <sheetView workbookViewId="0">
      <selection activeCell="D26" sqref="D26"/>
    </sheetView>
  </sheetViews>
  <sheetFormatPr defaultRowHeight="15" x14ac:dyDescent="0.25"/>
  <cols>
    <col min="3" max="3" width="25.7109375" customWidth="1"/>
    <col min="4" max="4" width="18.7109375" customWidth="1"/>
    <col min="5" max="5" width="17.85546875" customWidth="1"/>
  </cols>
  <sheetData>
    <row r="1" spans="1:5" x14ac:dyDescent="0.25">
      <c r="A1" t="s">
        <v>122</v>
      </c>
      <c r="B1" t="s">
        <v>0</v>
      </c>
      <c r="C1" t="s">
        <v>123</v>
      </c>
      <c r="D1" t="s">
        <v>124</v>
      </c>
      <c r="E1" t="s">
        <v>125</v>
      </c>
    </row>
    <row r="2" spans="1:5" x14ac:dyDescent="0.25">
      <c r="A2">
        <v>1</v>
      </c>
      <c r="B2">
        <v>1</v>
      </c>
      <c r="C2" t="s">
        <v>126</v>
      </c>
      <c r="D2" t="s">
        <v>127</v>
      </c>
      <c r="E2" s="14">
        <v>45296</v>
      </c>
    </row>
    <row r="3" spans="1:5" x14ac:dyDescent="0.25">
      <c r="A3">
        <v>2</v>
      </c>
      <c r="B3">
        <v>2</v>
      </c>
      <c r="C3" t="s">
        <v>128</v>
      </c>
      <c r="D3" t="s">
        <v>127</v>
      </c>
      <c r="E3" s="14">
        <v>45303</v>
      </c>
    </row>
    <row r="4" spans="1:5" x14ac:dyDescent="0.25">
      <c r="A4">
        <v>3</v>
      </c>
      <c r="B4">
        <v>3</v>
      </c>
      <c r="C4" t="s">
        <v>126</v>
      </c>
      <c r="D4" t="s">
        <v>127</v>
      </c>
      <c r="E4" s="14">
        <v>45324</v>
      </c>
    </row>
    <row r="5" spans="1:5" x14ac:dyDescent="0.25">
      <c r="A5">
        <v>4</v>
      </c>
      <c r="B5">
        <v>4</v>
      </c>
      <c r="C5" t="s">
        <v>129</v>
      </c>
      <c r="D5" t="s">
        <v>127</v>
      </c>
      <c r="E5" s="14">
        <v>45340</v>
      </c>
    </row>
    <row r="6" spans="1:5" x14ac:dyDescent="0.25">
      <c r="A6">
        <v>5</v>
      </c>
      <c r="B6">
        <v>5</v>
      </c>
      <c r="C6" t="s">
        <v>126</v>
      </c>
      <c r="D6" t="s">
        <v>6</v>
      </c>
      <c r="E6" s="14">
        <v>45361</v>
      </c>
    </row>
    <row r="7" spans="1:5" x14ac:dyDescent="0.25">
      <c r="A7">
        <v>6</v>
      </c>
      <c r="B7">
        <v>6</v>
      </c>
      <c r="C7" t="s">
        <v>128</v>
      </c>
      <c r="D7" t="s">
        <v>127</v>
      </c>
      <c r="E7" s="14">
        <v>45376</v>
      </c>
    </row>
    <row r="8" spans="1:5" x14ac:dyDescent="0.25">
      <c r="A8">
        <v>7</v>
      </c>
      <c r="B8">
        <v>7</v>
      </c>
      <c r="C8" t="s">
        <v>129</v>
      </c>
      <c r="D8" t="s">
        <v>127</v>
      </c>
      <c r="E8" s="14">
        <v>45394</v>
      </c>
    </row>
    <row r="9" spans="1:5" x14ac:dyDescent="0.25">
      <c r="A9">
        <v>8</v>
      </c>
      <c r="B9">
        <v>8</v>
      </c>
      <c r="C9" t="s">
        <v>126</v>
      </c>
      <c r="D9" t="s">
        <v>127</v>
      </c>
      <c r="E9" s="14">
        <v>45410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5C5D1-6669-425E-A668-DAE912D6FDAD}">
  <dimension ref="A1:E10"/>
  <sheetViews>
    <sheetView workbookViewId="0">
      <selection activeCell="H6" sqref="H6"/>
    </sheetView>
  </sheetViews>
  <sheetFormatPr defaultRowHeight="15" x14ac:dyDescent="0.25"/>
  <cols>
    <col min="1" max="1" width="15.5703125" customWidth="1"/>
    <col min="2" max="2" width="10.5703125" customWidth="1"/>
    <col min="3" max="3" width="12.7109375" customWidth="1"/>
    <col min="4" max="4" width="10.5703125" customWidth="1"/>
    <col min="5" max="5" width="12.140625" customWidth="1"/>
    <col min="6" max="6" width="10.85546875" customWidth="1"/>
  </cols>
  <sheetData>
    <row r="1" spans="1:5" x14ac:dyDescent="0.25">
      <c r="A1" s="10" t="s">
        <v>94</v>
      </c>
      <c r="B1" s="10" t="s">
        <v>0</v>
      </c>
      <c r="C1" s="10" t="s">
        <v>89</v>
      </c>
      <c r="D1" s="10" t="s">
        <v>95</v>
      </c>
      <c r="E1" s="11" t="s">
        <v>96</v>
      </c>
    </row>
    <row r="2" spans="1:5" x14ac:dyDescent="0.25">
      <c r="A2" s="6">
        <v>1</v>
      </c>
      <c r="B2" s="6">
        <v>1</v>
      </c>
      <c r="C2" s="6">
        <v>1</v>
      </c>
      <c r="D2" s="6">
        <v>1</v>
      </c>
      <c r="E2" s="8">
        <v>1200</v>
      </c>
    </row>
    <row r="3" spans="1:5" x14ac:dyDescent="0.25">
      <c r="A3" s="7">
        <v>2</v>
      </c>
      <c r="B3" s="7">
        <v>1</v>
      </c>
      <c r="C3" s="7">
        <v>5</v>
      </c>
      <c r="D3" s="7">
        <v>1</v>
      </c>
      <c r="E3" s="9">
        <v>120</v>
      </c>
    </row>
    <row r="4" spans="1:5" x14ac:dyDescent="0.25">
      <c r="A4" s="6">
        <v>3</v>
      </c>
      <c r="B4" s="6">
        <v>2</v>
      </c>
      <c r="C4" s="6">
        <v>3</v>
      </c>
      <c r="D4" s="6">
        <v>1</v>
      </c>
      <c r="E4" s="8">
        <v>999</v>
      </c>
    </row>
    <row r="5" spans="1:5" x14ac:dyDescent="0.25">
      <c r="A5" s="7">
        <v>4</v>
      </c>
      <c r="B5" s="7">
        <v>3</v>
      </c>
      <c r="C5" s="7">
        <v>7</v>
      </c>
      <c r="D5" s="7">
        <v>2</v>
      </c>
      <c r="E5" s="9">
        <v>280</v>
      </c>
    </row>
    <row r="6" spans="1:5" x14ac:dyDescent="0.25">
      <c r="A6" s="6">
        <v>5</v>
      </c>
      <c r="B6" s="6">
        <v>4</v>
      </c>
      <c r="C6" s="6">
        <v>4</v>
      </c>
      <c r="D6" s="6">
        <v>1</v>
      </c>
      <c r="E6" s="8">
        <v>950</v>
      </c>
    </row>
    <row r="7" spans="1:5" x14ac:dyDescent="0.25">
      <c r="A7" s="7">
        <v>6</v>
      </c>
      <c r="B7" s="7">
        <v>5</v>
      </c>
      <c r="C7" s="7">
        <v>9</v>
      </c>
      <c r="D7" s="7">
        <v>1</v>
      </c>
      <c r="E7" s="9">
        <v>550</v>
      </c>
    </row>
    <row r="8" spans="1:5" x14ac:dyDescent="0.25">
      <c r="A8" s="6">
        <v>7</v>
      </c>
      <c r="B8" s="6">
        <v>6</v>
      </c>
      <c r="C8" s="6">
        <v>6</v>
      </c>
      <c r="D8" s="6">
        <v>2</v>
      </c>
      <c r="E8" s="8">
        <v>50</v>
      </c>
    </row>
    <row r="9" spans="1:5" x14ac:dyDescent="0.25">
      <c r="A9" s="7">
        <v>8</v>
      </c>
      <c r="B9" s="7">
        <v>7</v>
      </c>
      <c r="C9" s="7">
        <v>2</v>
      </c>
      <c r="D9" s="7">
        <v>1</v>
      </c>
      <c r="E9" s="9">
        <v>1100</v>
      </c>
    </row>
    <row r="10" spans="1:5" x14ac:dyDescent="0.25">
      <c r="A10" s="2">
        <v>9</v>
      </c>
      <c r="B10" s="2">
        <v>8</v>
      </c>
      <c r="C10" s="2">
        <v>10</v>
      </c>
      <c r="D10" s="2">
        <v>1</v>
      </c>
      <c r="E10" s="13">
        <v>530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2B53F-AAB3-4891-8EFC-86002FD094E2}">
  <dimension ref="A1:E40"/>
  <sheetViews>
    <sheetView workbookViewId="0">
      <selection activeCell="K8" sqref="K8"/>
    </sheetView>
  </sheetViews>
  <sheetFormatPr defaultRowHeight="15" x14ac:dyDescent="0.25"/>
  <cols>
    <col min="1" max="1" width="15.85546875" customWidth="1"/>
    <col min="2" max="2" width="14.7109375" customWidth="1"/>
    <col min="3" max="3" width="12.28515625" customWidth="1"/>
    <col min="5" max="5" width="19.28515625" customWidth="1"/>
  </cols>
  <sheetData>
    <row r="1" spans="1:5" x14ac:dyDescent="0.25">
      <c r="A1" t="s">
        <v>1</v>
      </c>
      <c r="B1" t="s">
        <v>97</v>
      </c>
      <c r="C1" t="s">
        <v>98</v>
      </c>
      <c r="D1" t="s">
        <v>99</v>
      </c>
      <c r="E1" s="14" t="s">
        <v>100</v>
      </c>
    </row>
    <row r="2" spans="1:5" x14ac:dyDescent="0.25">
      <c r="A2">
        <v>39</v>
      </c>
      <c r="B2" t="s">
        <v>13</v>
      </c>
      <c r="C2" t="s">
        <v>14</v>
      </c>
      <c r="D2" t="s">
        <v>15</v>
      </c>
      <c r="E2" s="14">
        <v>45313</v>
      </c>
    </row>
    <row r="3" spans="1:5" x14ac:dyDescent="0.25">
      <c r="A3">
        <v>38</v>
      </c>
      <c r="B3" t="s">
        <v>16</v>
      </c>
      <c r="C3" t="s">
        <v>17</v>
      </c>
      <c r="D3" t="s">
        <v>18</v>
      </c>
      <c r="E3" s="14">
        <v>45311</v>
      </c>
    </row>
    <row r="4" spans="1:5" x14ac:dyDescent="0.25">
      <c r="A4">
        <v>37</v>
      </c>
      <c r="B4" t="s">
        <v>19</v>
      </c>
      <c r="C4" t="s">
        <v>20</v>
      </c>
      <c r="D4" t="s">
        <v>21</v>
      </c>
      <c r="E4" s="14">
        <v>45308</v>
      </c>
    </row>
    <row r="5" spans="1:5" x14ac:dyDescent="0.25">
      <c r="A5">
        <v>36</v>
      </c>
      <c r="B5" t="s">
        <v>22</v>
      </c>
      <c r="C5" t="s">
        <v>23</v>
      </c>
      <c r="D5" t="s">
        <v>24</v>
      </c>
      <c r="E5" s="14">
        <v>45306</v>
      </c>
    </row>
    <row r="6" spans="1:5" x14ac:dyDescent="0.25">
      <c r="A6">
        <v>35</v>
      </c>
      <c r="B6" t="s">
        <v>25</v>
      </c>
      <c r="C6" t="s">
        <v>26</v>
      </c>
      <c r="D6" t="s">
        <v>27</v>
      </c>
      <c r="E6" s="14">
        <v>45305</v>
      </c>
    </row>
    <row r="7" spans="1:5" x14ac:dyDescent="0.25">
      <c r="A7">
        <v>34</v>
      </c>
      <c r="B7" t="s">
        <v>28</v>
      </c>
      <c r="C7" t="s">
        <v>29</v>
      </c>
      <c r="D7" t="s">
        <v>30</v>
      </c>
      <c r="E7" s="14">
        <v>45303</v>
      </c>
    </row>
    <row r="8" spans="1:5" x14ac:dyDescent="0.25">
      <c r="A8">
        <v>33</v>
      </c>
      <c r="B8" t="s">
        <v>31</v>
      </c>
      <c r="C8" t="s">
        <v>32</v>
      </c>
      <c r="D8" t="s">
        <v>33</v>
      </c>
      <c r="E8" s="14">
        <v>45301</v>
      </c>
    </row>
    <row r="9" spans="1:5" x14ac:dyDescent="0.25">
      <c r="A9">
        <v>32</v>
      </c>
      <c r="B9" t="s">
        <v>34</v>
      </c>
      <c r="C9" t="s">
        <v>35</v>
      </c>
      <c r="D9" t="s">
        <v>15</v>
      </c>
      <c r="E9" s="14">
        <v>45298</v>
      </c>
    </row>
    <row r="10" spans="1:5" x14ac:dyDescent="0.25">
      <c r="A10">
        <v>31</v>
      </c>
      <c r="B10" t="s">
        <v>36</v>
      </c>
      <c r="C10" t="s">
        <v>37</v>
      </c>
      <c r="D10" t="s">
        <v>38</v>
      </c>
      <c r="E10" s="14">
        <v>45296</v>
      </c>
    </row>
    <row r="11" spans="1:5" x14ac:dyDescent="0.25">
      <c r="A11">
        <v>30</v>
      </c>
      <c r="B11" t="s">
        <v>39</v>
      </c>
      <c r="C11" t="s">
        <v>40</v>
      </c>
      <c r="D11" t="s">
        <v>21</v>
      </c>
      <c r="E11" s="14">
        <v>45029</v>
      </c>
    </row>
    <row r="12" spans="1:5" x14ac:dyDescent="0.25">
      <c r="A12">
        <v>29</v>
      </c>
      <c r="B12" t="s">
        <v>41</v>
      </c>
      <c r="C12" t="s">
        <v>42</v>
      </c>
      <c r="D12" t="s">
        <v>33</v>
      </c>
      <c r="E12" s="14">
        <v>45026</v>
      </c>
    </row>
    <row r="13" spans="1:5" x14ac:dyDescent="0.25">
      <c r="A13">
        <v>28</v>
      </c>
      <c r="B13" t="s">
        <v>43</v>
      </c>
      <c r="C13" t="s">
        <v>44</v>
      </c>
      <c r="D13" t="s">
        <v>30</v>
      </c>
      <c r="E13" s="14">
        <v>45024</v>
      </c>
    </row>
    <row r="14" spans="1:5" x14ac:dyDescent="0.25">
      <c r="A14">
        <v>27</v>
      </c>
      <c r="B14" t="s">
        <v>45</v>
      </c>
      <c r="C14" t="s">
        <v>46</v>
      </c>
      <c r="D14" t="s">
        <v>24</v>
      </c>
      <c r="E14" s="14">
        <v>45020</v>
      </c>
    </row>
    <row r="15" spans="1:5" x14ac:dyDescent="0.25">
      <c r="A15">
        <v>26</v>
      </c>
      <c r="B15" t="s">
        <v>47</v>
      </c>
      <c r="C15" t="s">
        <v>48</v>
      </c>
      <c r="D15" t="s">
        <v>27</v>
      </c>
      <c r="E15" s="14">
        <v>45017</v>
      </c>
    </row>
    <row r="16" spans="1:5" x14ac:dyDescent="0.25">
      <c r="A16">
        <v>25</v>
      </c>
      <c r="B16" t="s">
        <v>49</v>
      </c>
      <c r="C16" t="s">
        <v>50</v>
      </c>
      <c r="D16" t="s">
        <v>51</v>
      </c>
      <c r="E16" s="14">
        <v>45013</v>
      </c>
    </row>
    <row r="17" spans="1:5" x14ac:dyDescent="0.25">
      <c r="A17">
        <v>24</v>
      </c>
      <c r="B17" t="s">
        <v>52</v>
      </c>
      <c r="C17" t="s">
        <v>53</v>
      </c>
      <c r="D17" t="s">
        <v>18</v>
      </c>
      <c r="E17" s="14">
        <v>45010</v>
      </c>
    </row>
    <row r="18" spans="1:5" x14ac:dyDescent="0.25">
      <c r="A18">
        <v>23</v>
      </c>
      <c r="B18" t="s">
        <v>54</v>
      </c>
      <c r="C18" t="s">
        <v>55</v>
      </c>
      <c r="D18" t="s">
        <v>56</v>
      </c>
      <c r="E18" s="14">
        <v>45007</v>
      </c>
    </row>
    <row r="19" spans="1:5" x14ac:dyDescent="0.25">
      <c r="A19">
        <v>22</v>
      </c>
      <c r="B19" t="s">
        <v>57</v>
      </c>
      <c r="C19" t="s">
        <v>58</v>
      </c>
      <c r="D19" t="s">
        <v>38</v>
      </c>
      <c r="E19" s="14">
        <v>45005</v>
      </c>
    </row>
    <row r="20" spans="1:5" x14ac:dyDescent="0.25">
      <c r="A20">
        <v>21</v>
      </c>
      <c r="B20" t="s">
        <v>59</v>
      </c>
      <c r="C20" t="s">
        <v>60</v>
      </c>
      <c r="D20" t="s">
        <v>15</v>
      </c>
      <c r="E20" s="14">
        <v>45003</v>
      </c>
    </row>
    <row r="21" spans="1:5" x14ac:dyDescent="0.25">
      <c r="A21">
        <v>20</v>
      </c>
      <c r="B21" t="s">
        <v>61</v>
      </c>
      <c r="C21" t="s">
        <v>62</v>
      </c>
      <c r="D21" t="s">
        <v>21</v>
      </c>
      <c r="E21" s="14">
        <v>45000</v>
      </c>
    </row>
    <row r="22" spans="1:5" x14ac:dyDescent="0.25">
      <c r="A22">
        <v>19</v>
      </c>
      <c r="B22" t="s">
        <v>63</v>
      </c>
      <c r="C22" t="s">
        <v>64</v>
      </c>
      <c r="D22" t="s">
        <v>33</v>
      </c>
      <c r="E22" s="14">
        <v>44997</v>
      </c>
    </row>
    <row r="23" spans="1:5" x14ac:dyDescent="0.25">
      <c r="A23">
        <v>18</v>
      </c>
      <c r="B23" t="s">
        <v>65</v>
      </c>
      <c r="C23" t="s">
        <v>66</v>
      </c>
      <c r="D23" t="s">
        <v>30</v>
      </c>
      <c r="E23" s="14">
        <v>44995</v>
      </c>
    </row>
    <row r="24" spans="1:5" x14ac:dyDescent="0.25">
      <c r="A24">
        <v>17</v>
      </c>
      <c r="B24" t="s">
        <v>67</v>
      </c>
      <c r="C24" t="s">
        <v>68</v>
      </c>
      <c r="D24" t="s">
        <v>24</v>
      </c>
      <c r="E24" s="14">
        <v>44992</v>
      </c>
    </row>
    <row r="25" spans="1:5" x14ac:dyDescent="0.25">
      <c r="A25">
        <v>16</v>
      </c>
      <c r="B25" t="s">
        <v>69</v>
      </c>
      <c r="C25" t="s">
        <v>70</v>
      </c>
      <c r="D25" t="s">
        <v>27</v>
      </c>
      <c r="E25" s="14">
        <v>44988</v>
      </c>
    </row>
    <row r="26" spans="1:5" x14ac:dyDescent="0.25">
      <c r="A26">
        <v>15</v>
      </c>
      <c r="B26" t="s">
        <v>71</v>
      </c>
      <c r="C26" t="s">
        <v>72</v>
      </c>
      <c r="D26" t="s">
        <v>51</v>
      </c>
      <c r="E26" s="14">
        <v>44986</v>
      </c>
    </row>
    <row r="27" spans="1:5" x14ac:dyDescent="0.25">
      <c r="A27">
        <v>14</v>
      </c>
      <c r="B27" t="s">
        <v>73</v>
      </c>
      <c r="C27" t="s">
        <v>74</v>
      </c>
      <c r="D27" t="s">
        <v>18</v>
      </c>
      <c r="E27" s="14">
        <v>44982</v>
      </c>
    </row>
    <row r="28" spans="1:5" x14ac:dyDescent="0.25">
      <c r="A28">
        <v>13</v>
      </c>
      <c r="B28" t="s">
        <v>75</v>
      </c>
      <c r="C28" t="s">
        <v>76</v>
      </c>
      <c r="D28" t="s">
        <v>56</v>
      </c>
      <c r="E28" s="14">
        <v>44979</v>
      </c>
    </row>
    <row r="29" spans="1:5" x14ac:dyDescent="0.25">
      <c r="A29">
        <v>12</v>
      </c>
      <c r="B29" t="s">
        <v>77</v>
      </c>
      <c r="C29" t="s">
        <v>78</v>
      </c>
      <c r="D29" t="s">
        <v>38</v>
      </c>
      <c r="E29" s="14">
        <v>44977</v>
      </c>
    </row>
    <row r="30" spans="1:5" x14ac:dyDescent="0.25">
      <c r="A30">
        <v>11</v>
      </c>
      <c r="B30" t="s">
        <v>79</v>
      </c>
      <c r="C30" t="s">
        <v>80</v>
      </c>
      <c r="D30" t="s">
        <v>15</v>
      </c>
      <c r="E30" s="14">
        <v>44975</v>
      </c>
    </row>
    <row r="31" spans="1:5" x14ac:dyDescent="0.25">
      <c r="A31">
        <v>10</v>
      </c>
      <c r="B31" t="s">
        <v>81</v>
      </c>
      <c r="C31" t="s">
        <v>82</v>
      </c>
      <c r="D31" t="s">
        <v>21</v>
      </c>
      <c r="E31" s="14">
        <v>44971</v>
      </c>
    </row>
    <row r="32" spans="1:5" x14ac:dyDescent="0.25">
      <c r="A32">
        <v>9</v>
      </c>
      <c r="B32" t="s">
        <v>13</v>
      </c>
      <c r="C32" t="s">
        <v>14</v>
      </c>
      <c r="D32" t="s">
        <v>33</v>
      </c>
      <c r="E32" s="14">
        <v>44968</v>
      </c>
    </row>
    <row r="33" spans="1:5" x14ac:dyDescent="0.25">
      <c r="A33">
        <v>8</v>
      </c>
      <c r="B33" t="s">
        <v>16</v>
      </c>
      <c r="C33" t="s">
        <v>17</v>
      </c>
      <c r="D33" t="s">
        <v>30</v>
      </c>
      <c r="E33" s="14">
        <v>44964</v>
      </c>
    </row>
    <row r="34" spans="1:5" x14ac:dyDescent="0.25">
      <c r="A34">
        <v>7</v>
      </c>
      <c r="B34" t="s">
        <v>19</v>
      </c>
      <c r="C34" t="s">
        <v>20</v>
      </c>
      <c r="D34" t="s">
        <v>24</v>
      </c>
      <c r="E34" s="14">
        <v>44962</v>
      </c>
    </row>
    <row r="35" spans="1:5" x14ac:dyDescent="0.25">
      <c r="A35">
        <v>6</v>
      </c>
      <c r="B35" t="s">
        <v>22</v>
      </c>
      <c r="C35" t="s">
        <v>23</v>
      </c>
      <c r="D35" t="s">
        <v>27</v>
      </c>
      <c r="E35" s="14">
        <v>44958</v>
      </c>
    </row>
    <row r="36" spans="1:5" x14ac:dyDescent="0.25">
      <c r="A36">
        <v>5</v>
      </c>
      <c r="B36" t="s">
        <v>25</v>
      </c>
      <c r="C36" t="s">
        <v>26</v>
      </c>
      <c r="D36" t="s">
        <v>51</v>
      </c>
      <c r="E36" s="14">
        <v>44954</v>
      </c>
    </row>
    <row r="37" spans="1:5" x14ac:dyDescent="0.25">
      <c r="A37">
        <v>4</v>
      </c>
      <c r="B37" t="s">
        <v>28</v>
      </c>
      <c r="C37" t="s">
        <v>29</v>
      </c>
      <c r="D37" t="s">
        <v>18</v>
      </c>
      <c r="E37" s="14">
        <v>44949</v>
      </c>
    </row>
    <row r="38" spans="1:5" x14ac:dyDescent="0.25">
      <c r="A38">
        <v>3</v>
      </c>
      <c r="B38" t="s">
        <v>31</v>
      </c>
      <c r="C38" t="s">
        <v>32</v>
      </c>
      <c r="D38" t="s">
        <v>56</v>
      </c>
      <c r="E38" s="14">
        <v>44947</v>
      </c>
    </row>
    <row r="39" spans="1:5" x14ac:dyDescent="0.25">
      <c r="A39">
        <v>2</v>
      </c>
      <c r="B39" t="s">
        <v>34</v>
      </c>
      <c r="C39" t="s">
        <v>35</v>
      </c>
      <c r="D39" t="s">
        <v>15</v>
      </c>
      <c r="E39" s="14">
        <v>44944</v>
      </c>
    </row>
    <row r="40" spans="1:5" x14ac:dyDescent="0.25">
      <c r="A40">
        <v>1</v>
      </c>
      <c r="B40" t="s">
        <v>36</v>
      </c>
      <c r="C40" t="s">
        <v>37</v>
      </c>
      <c r="D40" t="s">
        <v>38</v>
      </c>
      <c r="E40" s="14">
        <v>44941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5322-3252-4A8C-BA7B-6EDB9A63CA0F}">
  <dimension ref="B3:N29"/>
  <sheetViews>
    <sheetView topLeftCell="A7" workbookViewId="0">
      <selection activeCell="N17" sqref="N17"/>
    </sheetView>
  </sheetViews>
  <sheetFormatPr defaultRowHeight="15" x14ac:dyDescent="0.25"/>
  <cols>
    <col min="2" max="3" width="14" bestFit="1" customWidth="1"/>
    <col min="4" max="4" width="16" bestFit="1" customWidth="1"/>
    <col min="6" max="6" width="12" bestFit="1" customWidth="1"/>
    <col min="8" max="8" width="13.85546875" bestFit="1" customWidth="1"/>
    <col min="13" max="13" width="13.42578125" bestFit="1" customWidth="1"/>
    <col min="14" max="14" width="14" bestFit="1" customWidth="1"/>
  </cols>
  <sheetData>
    <row r="3" spans="2:8" x14ac:dyDescent="0.25">
      <c r="B3" s="15" t="s">
        <v>101</v>
      </c>
      <c r="C3" t="s">
        <v>130</v>
      </c>
    </row>
    <row r="4" spans="2:8" x14ac:dyDescent="0.25">
      <c r="B4" s="16" t="s">
        <v>120</v>
      </c>
      <c r="C4" s="17">
        <v>220</v>
      </c>
    </row>
    <row r="5" spans="2:8" x14ac:dyDescent="0.25">
      <c r="B5" s="16" t="s">
        <v>102</v>
      </c>
      <c r="C5" s="17">
        <v>1080</v>
      </c>
    </row>
    <row r="6" spans="2:8" x14ac:dyDescent="0.25">
      <c r="B6" s="16" t="s">
        <v>103</v>
      </c>
      <c r="C6" s="17">
        <v>2300</v>
      </c>
    </row>
    <row r="7" spans="2:8" x14ac:dyDescent="0.25">
      <c r="B7" s="16" t="s">
        <v>121</v>
      </c>
      <c r="C7" s="17">
        <v>560</v>
      </c>
    </row>
    <row r="8" spans="2:8" x14ac:dyDescent="0.25">
      <c r="B8" s="16" t="s">
        <v>104</v>
      </c>
      <c r="C8" s="17">
        <v>1949</v>
      </c>
    </row>
    <row r="9" spans="2:8" x14ac:dyDescent="0.25">
      <c r="B9" s="16" t="s">
        <v>105</v>
      </c>
      <c r="C9" s="17">
        <v>6109</v>
      </c>
    </row>
    <row r="14" spans="2:8" x14ac:dyDescent="0.25">
      <c r="B14" t="s">
        <v>130</v>
      </c>
      <c r="D14" t="s">
        <v>132</v>
      </c>
      <c r="F14" t="s">
        <v>131</v>
      </c>
      <c r="H14" t="s">
        <v>133</v>
      </c>
    </row>
    <row r="15" spans="2:8" x14ac:dyDescent="0.25">
      <c r="B15" s="17">
        <v>6109</v>
      </c>
      <c r="D15" s="17">
        <v>6</v>
      </c>
      <c r="F15" s="17">
        <v>9</v>
      </c>
      <c r="H15" s="18">
        <v>678.77777777777783</v>
      </c>
    </row>
    <row r="19" spans="2:14" x14ac:dyDescent="0.25">
      <c r="B19" s="15" t="s">
        <v>101</v>
      </c>
      <c r="C19" t="s">
        <v>130</v>
      </c>
    </row>
    <row r="20" spans="2:14" x14ac:dyDescent="0.25">
      <c r="B20" s="16" t="s">
        <v>114</v>
      </c>
      <c r="C20" s="17">
        <v>560</v>
      </c>
      <c r="M20" s="15" t="s">
        <v>101</v>
      </c>
      <c r="N20" t="s">
        <v>130</v>
      </c>
    </row>
    <row r="21" spans="2:14" x14ac:dyDescent="0.25">
      <c r="B21" s="16" t="s">
        <v>85</v>
      </c>
      <c r="C21" s="17">
        <v>999</v>
      </c>
      <c r="M21" s="16">
        <v>1</v>
      </c>
      <c r="N21" s="17">
        <v>1420</v>
      </c>
    </row>
    <row r="22" spans="2:14" x14ac:dyDescent="0.25">
      <c r="B22" s="16" t="s">
        <v>83</v>
      </c>
      <c r="C22" s="17">
        <v>1200</v>
      </c>
      <c r="M22" s="16">
        <v>2</v>
      </c>
      <c r="N22" s="17">
        <v>2099</v>
      </c>
    </row>
    <row r="23" spans="2:14" x14ac:dyDescent="0.25">
      <c r="B23" s="16" t="s">
        <v>110</v>
      </c>
      <c r="C23" s="17">
        <v>120</v>
      </c>
      <c r="M23" s="16">
        <v>3</v>
      </c>
      <c r="N23" s="17">
        <v>560</v>
      </c>
    </row>
    <row r="24" spans="2:14" x14ac:dyDescent="0.25">
      <c r="B24" s="16" t="s">
        <v>87</v>
      </c>
      <c r="C24" s="17">
        <v>550</v>
      </c>
      <c r="M24" s="16">
        <v>4</v>
      </c>
      <c r="N24" s="17">
        <v>950</v>
      </c>
    </row>
    <row r="25" spans="2:14" x14ac:dyDescent="0.25">
      <c r="B25" s="16" t="s">
        <v>86</v>
      </c>
      <c r="C25" s="17">
        <v>950</v>
      </c>
      <c r="M25" s="16">
        <v>5</v>
      </c>
      <c r="N25" s="17">
        <v>550</v>
      </c>
    </row>
    <row r="26" spans="2:14" x14ac:dyDescent="0.25">
      <c r="B26" s="16" t="s">
        <v>84</v>
      </c>
      <c r="C26" s="17">
        <v>1100</v>
      </c>
      <c r="M26" s="16">
        <v>6</v>
      </c>
      <c r="N26" s="17">
        <v>530</v>
      </c>
    </row>
    <row r="27" spans="2:14" x14ac:dyDescent="0.25">
      <c r="B27" s="16" t="s">
        <v>112</v>
      </c>
      <c r="C27" s="17">
        <v>100</v>
      </c>
      <c r="M27" s="16" t="s">
        <v>105</v>
      </c>
      <c r="N27" s="17">
        <v>6109</v>
      </c>
    </row>
    <row r="28" spans="2:14" x14ac:dyDescent="0.25">
      <c r="B28" s="16" t="s">
        <v>88</v>
      </c>
      <c r="C28" s="17">
        <v>530</v>
      </c>
    </row>
    <row r="29" spans="2:14" x14ac:dyDescent="0.25">
      <c r="B29" s="16" t="s">
        <v>105</v>
      </c>
      <c r="C29" s="17">
        <v>6109</v>
      </c>
    </row>
  </sheetData>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46EBC749-D7F9-4068-AB34-DCEBC7D2AC70}">
  <ds:schemaRefs/>
</ds:datastoreItem>
</file>

<file path=customXml/itemProps2.xml><?xml version="1.0" encoding="utf-8"?>
<ds:datastoreItem xmlns:ds="http://schemas.openxmlformats.org/officeDocument/2006/customXml" ds:itemID="{3D0AC6E9-F0FA-4C18-92AC-D4DA0101E6AA}">
  <ds:schemaRefs/>
</ds:datastoreItem>
</file>

<file path=customXml/itemProps3.xml><?xml version="1.0" encoding="utf-8"?>
<ds:datastoreItem xmlns:ds="http://schemas.openxmlformats.org/officeDocument/2006/customXml" ds:itemID="{90DBD63B-BC5E-4AFE-AD42-3F33EEAF53DC}">
  <ds:schemaRefs/>
</ds:datastoreItem>
</file>

<file path=customXml/itemProps4.xml><?xml version="1.0" encoding="utf-8"?>
<ds:datastoreItem xmlns:ds="http://schemas.openxmlformats.org/officeDocument/2006/customXml" ds:itemID="{462DF23A-D173-4BD2-AB9F-808FA24F03BC}">
  <ds:schemaRefs/>
</ds:datastoreItem>
</file>

<file path=customXml/itemProps5.xml><?xml version="1.0" encoding="utf-8"?>
<ds:datastoreItem xmlns:ds="http://schemas.openxmlformats.org/officeDocument/2006/customXml" ds:itemID="{36FA30A2-6C01-492C-89D6-7F3FB8231238}">
  <ds:schemaRefs/>
</ds:datastoreItem>
</file>

<file path=customXml/itemProps6.xml><?xml version="1.0" encoding="utf-8"?>
<ds:datastoreItem xmlns:ds="http://schemas.openxmlformats.org/officeDocument/2006/customXml" ds:itemID="{BEF042AF-3CEE-4785-9498-CA9537DF8F24}">
  <ds:schemaRefs/>
</ds:datastoreItem>
</file>

<file path=customXml/itemProps7.xml><?xml version="1.0" encoding="utf-8"?>
<ds:datastoreItem xmlns:ds="http://schemas.openxmlformats.org/officeDocument/2006/customXml" ds:itemID="{A939C8FF-820A-4D4D-92C9-61D84CC0DE5C}">
  <ds:schemaRefs/>
</ds:datastoreItem>
</file>

<file path=customXml/itemProps8.xml><?xml version="1.0" encoding="utf-8"?>
<ds:datastoreItem xmlns:ds="http://schemas.openxmlformats.org/officeDocument/2006/customXml" ds:itemID="{DCA0304A-FBD7-4CBA-A1B7-D948CDABB283}">
  <ds:schemaRefs/>
</ds:datastoreItem>
</file>

<file path=customXml/itemProps9.xml><?xml version="1.0" encoding="utf-8"?>
<ds:datastoreItem xmlns:ds="http://schemas.openxmlformats.org/officeDocument/2006/customXml" ds:itemID="{B6EB4CA4-2D50-4A64-B306-849BBBEC13D5}">
  <ds:schemaRefs/>
</ds:datastoreItem>
</file>

<file path=customXml/itemProps10.xml><?xml version="1.0" encoding="utf-8"?>
<ds:datastoreItem xmlns:ds="http://schemas.openxmlformats.org/officeDocument/2006/customXml" ds:itemID="{363F8416-DB22-4B00-AB12-CC099385F35B}">
  <ds:schemaRefs/>
</ds:datastoreItem>
</file>

<file path=customXml/itemProps11.xml><?xml version="1.0" encoding="utf-8"?>
<ds:datastoreItem xmlns:ds="http://schemas.openxmlformats.org/officeDocument/2006/customXml" ds:itemID="{C63004F9-2B84-49E0-AC6B-CA2085F4C24F}">
  <ds:schemaRefs/>
</ds:datastoreItem>
</file>

<file path=customXml/itemProps12.xml><?xml version="1.0" encoding="utf-8"?>
<ds:datastoreItem xmlns:ds="http://schemas.openxmlformats.org/officeDocument/2006/customXml" ds:itemID="{40E86F05-AB09-4331-BCDD-CCF46E9CB5A0}">
  <ds:schemaRefs/>
</ds:datastoreItem>
</file>

<file path=customXml/itemProps13.xml><?xml version="1.0" encoding="utf-8"?>
<ds:datastoreItem xmlns:ds="http://schemas.openxmlformats.org/officeDocument/2006/customXml" ds:itemID="{5EB40C22-0DEC-4C63-A2F0-5B7A00B285AA}">
  <ds:schemaRefs/>
</ds:datastoreItem>
</file>

<file path=customXml/itemProps14.xml><?xml version="1.0" encoding="utf-8"?>
<ds:datastoreItem xmlns:ds="http://schemas.openxmlformats.org/officeDocument/2006/customXml" ds:itemID="{9A5ABBBA-145F-4B92-9CF4-276C5F897759}">
  <ds:schemaRefs/>
</ds:datastoreItem>
</file>

<file path=customXml/itemProps15.xml><?xml version="1.0" encoding="utf-8"?>
<ds:datastoreItem xmlns:ds="http://schemas.openxmlformats.org/officeDocument/2006/customXml" ds:itemID="{C5444983-41C0-473F-A7DF-FB1E0933E005}">
  <ds:schemaRefs/>
</ds:datastoreItem>
</file>

<file path=customXml/itemProps16.xml><?xml version="1.0" encoding="utf-8"?>
<ds:datastoreItem xmlns:ds="http://schemas.openxmlformats.org/officeDocument/2006/customXml" ds:itemID="{8F9DCADA-AC43-4C49-B8D2-D9BF2815B26D}">
  <ds:schemaRefs/>
</ds:datastoreItem>
</file>

<file path=customXml/itemProps17.xml><?xml version="1.0" encoding="utf-8"?>
<ds:datastoreItem xmlns:ds="http://schemas.openxmlformats.org/officeDocument/2006/customXml" ds:itemID="{7503063D-43FB-4AD2-A0D5-90EC2BCF608A}">
  <ds:schemaRefs/>
</ds:datastoreItem>
</file>

<file path=customXml/itemProps18.xml><?xml version="1.0" encoding="utf-8"?>
<ds:datastoreItem xmlns:ds="http://schemas.openxmlformats.org/officeDocument/2006/customXml" ds:itemID="{FE471549-D9DB-447A-A9A6-18EA88FAB880}">
  <ds:schemaRefs/>
</ds:datastoreItem>
</file>

<file path=customXml/itemProps19.xml><?xml version="1.0" encoding="utf-8"?>
<ds:datastoreItem xmlns:ds="http://schemas.openxmlformats.org/officeDocument/2006/customXml" ds:itemID="{34D50088-E633-4DBF-8BC6-2BB7343A960D}">
  <ds:schemaRefs/>
</ds:datastoreItem>
</file>

<file path=customXml/itemProps20.xml><?xml version="1.0" encoding="utf-8"?>
<ds:datastoreItem xmlns:ds="http://schemas.openxmlformats.org/officeDocument/2006/customXml" ds:itemID="{1781FBB0-0033-4F36-A429-14F39E325D7D}">
  <ds:schemaRefs/>
</ds:datastoreItem>
</file>

<file path=customXml/itemProps21.xml><?xml version="1.0" encoding="utf-8"?>
<ds:datastoreItem xmlns:ds="http://schemas.openxmlformats.org/officeDocument/2006/customXml" ds:itemID="{69C9B8F0-1F57-46AE-9280-F70192EEA283}">
  <ds:schemaRefs/>
</ds:datastoreItem>
</file>

<file path=customXml/itemProps22.xml><?xml version="1.0" encoding="utf-8"?>
<ds:datastoreItem xmlns:ds="http://schemas.openxmlformats.org/officeDocument/2006/customXml" ds:itemID="{C800FCEF-490A-438E-BF57-EF9B5296FA50}">
  <ds:schemaRefs/>
</ds:datastoreItem>
</file>

<file path=customXml/itemProps23.xml><?xml version="1.0" encoding="utf-8"?>
<ds:datastoreItem xmlns:ds="http://schemas.openxmlformats.org/officeDocument/2006/customXml" ds:itemID="{7C28278B-CFAC-4D51-A7F1-EE39479C4F10}">
  <ds:schemaRefs/>
</ds:datastoreItem>
</file>

<file path=customXml/itemProps24.xml><?xml version="1.0" encoding="utf-8"?>
<ds:datastoreItem xmlns:ds="http://schemas.openxmlformats.org/officeDocument/2006/customXml" ds:itemID="{2AA02DD6-79FB-4755-A349-6A436C98F655}">
  <ds:schemaRefs/>
</ds:datastoreItem>
</file>

<file path=customXml/itemProps25.xml><?xml version="1.0" encoding="utf-8"?>
<ds:datastoreItem xmlns:ds="http://schemas.openxmlformats.org/officeDocument/2006/customXml" ds:itemID="{363E421E-540A-4EF0-8742-8C406FE67B67}">
  <ds:schemaRefs/>
</ds:datastoreItem>
</file>

<file path=customXml/itemProps26.xml><?xml version="1.0" encoding="utf-8"?>
<ds:datastoreItem xmlns:ds="http://schemas.openxmlformats.org/officeDocument/2006/customXml" ds:itemID="{6BBB3EAD-C07C-40F5-819D-BFCCA0CD7DF7}">
  <ds:schemaRefs/>
</ds:datastoreItem>
</file>

<file path=customXml/itemProps27.xml><?xml version="1.0" encoding="utf-8"?>
<ds:datastoreItem xmlns:ds="http://schemas.openxmlformats.org/officeDocument/2006/customXml" ds:itemID="{D8C87164-2976-4C86-B5A5-7BA767FC16E8}">
  <ds:schemaRefs/>
</ds:datastoreItem>
</file>

<file path=customXml/itemProps28.xml><?xml version="1.0" encoding="utf-8"?>
<ds:datastoreItem xmlns:ds="http://schemas.openxmlformats.org/officeDocument/2006/customXml" ds:itemID="{130D3897-98C9-4D04-91E3-5FE408D94C90}">
  <ds:schemaRefs/>
</ds:datastoreItem>
</file>

<file path=customXml/itemProps29.xml><?xml version="1.0" encoding="utf-8"?>
<ds:datastoreItem xmlns:ds="http://schemas.openxmlformats.org/officeDocument/2006/customXml" ds:itemID="{4E4FF11F-C750-4EE8-8760-730B0801BEFB}">
  <ds:schemaRefs/>
</ds:datastoreItem>
</file>

<file path=customXml/itemProps30.xml><?xml version="1.0" encoding="utf-8"?>
<ds:datastoreItem xmlns:ds="http://schemas.openxmlformats.org/officeDocument/2006/customXml" ds:itemID="{F1F1C59A-5938-4834-858E-F2E58DAE814E}">
  <ds:schemaRefs/>
</ds:datastoreItem>
</file>

<file path=customXml/itemProps31.xml><?xml version="1.0" encoding="utf-8"?>
<ds:datastoreItem xmlns:ds="http://schemas.openxmlformats.org/officeDocument/2006/customXml" ds:itemID="{434AB6F8-F9BC-49B9-8A31-F506E13680C1}">
  <ds:schemaRefs/>
</ds:datastoreItem>
</file>

<file path=customXml/itemProps32.xml><?xml version="1.0" encoding="utf-8"?>
<ds:datastoreItem xmlns:ds="http://schemas.openxmlformats.org/officeDocument/2006/customXml" ds:itemID="{3F532526-7E43-474E-A016-F7A79DB2D08E}">
  <ds:schemaRefs/>
</ds:datastoreItem>
</file>

<file path=customXml/itemProps33.xml><?xml version="1.0" encoding="utf-8"?>
<ds:datastoreItem xmlns:ds="http://schemas.openxmlformats.org/officeDocument/2006/customXml" ds:itemID="{D6F897F8-70AA-48F2-8ED9-FE45F1FB3DE5}">
  <ds:schemaRefs/>
</ds:datastoreItem>
</file>

<file path=customXml/itemProps34.xml><?xml version="1.0" encoding="utf-8"?>
<ds:datastoreItem xmlns:ds="http://schemas.openxmlformats.org/officeDocument/2006/customXml" ds:itemID="{496F839C-C5A1-43E3-98CC-B8D5E3192BD7}">
  <ds:schemaRefs/>
</ds:datastoreItem>
</file>

<file path=customXml/itemProps35.xml><?xml version="1.0" encoding="utf-8"?>
<ds:datastoreItem xmlns:ds="http://schemas.openxmlformats.org/officeDocument/2006/customXml" ds:itemID="{30FCC113-3604-4038-BA4E-9B3D9599138B}">
  <ds:schemaRefs/>
</ds:datastoreItem>
</file>

<file path=customXml/itemProps36.xml><?xml version="1.0" encoding="utf-8"?>
<ds:datastoreItem xmlns:ds="http://schemas.openxmlformats.org/officeDocument/2006/customXml" ds:itemID="{1A68D353-407D-4B1E-91D5-5581F2798796}">
  <ds:schemaRefs/>
</ds:datastoreItem>
</file>

<file path=customXml/itemProps37.xml><?xml version="1.0" encoding="utf-8"?>
<ds:datastoreItem xmlns:ds="http://schemas.openxmlformats.org/officeDocument/2006/customXml" ds:itemID="{C06B61E2-8863-4CD5-88B9-8DC392806B63}">
  <ds:schemaRefs/>
</ds:datastoreItem>
</file>

<file path=customXml/itemProps38.xml><?xml version="1.0" encoding="utf-8"?>
<ds:datastoreItem xmlns:ds="http://schemas.openxmlformats.org/officeDocument/2006/customXml" ds:itemID="{360ACD2B-3A51-4BFF-B4A8-75854A865410}">
  <ds:schemaRefs/>
</ds:datastoreItem>
</file>

<file path=customXml/itemProps39.xml><?xml version="1.0" encoding="utf-8"?>
<ds:datastoreItem xmlns:ds="http://schemas.openxmlformats.org/officeDocument/2006/customXml" ds:itemID="{CBFD876F-B26E-493C-BA89-7F4E0047ED5A}">
  <ds:schemaRefs/>
</ds:datastoreItem>
</file>

<file path=customXml/itemProps40.xml><?xml version="1.0" encoding="utf-8"?>
<ds:datastoreItem xmlns:ds="http://schemas.openxmlformats.org/officeDocument/2006/customXml" ds:itemID="{A6041529-E68F-4C4F-BAF1-3C30C3B550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sales_perfomance_dashboard</vt:lpstr>
      <vt:lpstr>Orders</vt:lpstr>
      <vt:lpstr>Products</vt:lpstr>
      <vt:lpstr>Payments</vt:lpstr>
      <vt:lpstr>Order_items</vt:lpstr>
      <vt:lpstr>Customers</vt:lpstr>
      <vt:lpstr>Pivots_for_final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2026-07-10T13:55:48Z</dcterms:created>
  <dcterms:modified xsi:type="dcterms:W3CDTF">2026-07-12T22:28:15Z</dcterms:modified>
</cp:coreProperties>
</file>